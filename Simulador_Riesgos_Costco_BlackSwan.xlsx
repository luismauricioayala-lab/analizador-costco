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ism\Downloads\"/>
    </mc:Choice>
  </mc:AlternateContent>
  <xr:revisionPtr revIDLastSave="0" documentId="13_ncr:1_{55AC3C75-66B6-4C12-A6FD-E73FC14AB7F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atriz de Sensibilidad" sheetId="1" r:id="rId1"/>
    <sheet name="Monte Carlo" sheetId="2" r:id="rId2"/>
    <sheet name="Tornado — Cisnes Negr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 a="1"/>
  <c r="M2" i="1" s="1"/>
  <c r="L2" i="1" a="1"/>
  <c r="L2" i="1" s="1"/>
  <c r="D4" i="1" s="1" a="1"/>
  <c r="D4" i="1" s="1"/>
  <c r="K2" i="1" a="1"/>
  <c r="K2" i="1" s="1"/>
  <c r="B4" i="1" s="1" a="1"/>
  <c r="B4" i="1" s="1"/>
  <c r="I2" i="3" l="1"/>
  <c r="B4" i="2"/>
  <c r="K3" i="2"/>
  <c r="I3" i="3"/>
  <c r="B6" i="3" s="1"/>
  <c r="C11" i="1"/>
  <c r="C18" i="1" s="1"/>
  <c r="F8" i="1"/>
  <c r="F15" i="1" s="1"/>
  <c r="I1" i="3"/>
  <c r="B11" i="1"/>
  <c r="B18" i="1" s="1"/>
  <c r="E8" i="1"/>
  <c r="E15" i="1" s="1"/>
  <c r="B5" i="2"/>
  <c r="F10" i="1"/>
  <c r="F17" i="1" s="1"/>
  <c r="D8" i="1"/>
  <c r="D15" i="1" s="1"/>
  <c r="C10" i="1"/>
  <c r="C17" i="1" s="1"/>
  <c r="F9" i="1"/>
  <c r="F16" i="1" s="1"/>
  <c r="K2" i="2"/>
  <c r="K1" i="2"/>
  <c r="D11" i="1"/>
  <c r="D18" i="1" s="1"/>
  <c r="E10" i="1"/>
  <c r="E17" i="1" s="1"/>
  <c r="C8" i="1"/>
  <c r="C15" i="1" s="1"/>
  <c r="B3" i="2"/>
  <c r="E11" i="1"/>
  <c r="E18" i="1" s="1"/>
  <c r="F12" i="1"/>
  <c r="F19" i="1" s="1"/>
  <c r="D10" i="1"/>
  <c r="D17" i="1" s="1"/>
  <c r="B8" i="1"/>
  <c r="B15" i="1" s="1"/>
  <c r="E12" i="1"/>
  <c r="E19" i="1" s="1"/>
  <c r="D12" i="1"/>
  <c r="D19" i="1" s="1"/>
  <c r="C12" i="1"/>
  <c r="C19" i="1" s="1"/>
  <c r="B12" i="1"/>
  <c r="B19" i="1" s="1"/>
  <c r="F11" i="1"/>
  <c r="F18" i="1" s="1"/>
  <c r="C9" i="1"/>
  <c r="C16" i="1" s="1"/>
  <c r="B10" i="1"/>
  <c r="B17" i="1" s="1"/>
  <c r="E9" i="1"/>
  <c r="E16" i="1" s="1"/>
  <c r="D9" i="1"/>
  <c r="D16" i="1" s="1"/>
  <c r="B9" i="1"/>
  <c r="B16" i="1" s="1"/>
  <c r="B9" i="3"/>
  <c r="D4" i="3"/>
  <c r="B7" i="3"/>
  <c r="D7" i="3"/>
  <c r="B4" i="3" l="1"/>
  <c r="B5" i="3"/>
  <c r="D5" i="3"/>
  <c r="D8" i="3"/>
  <c r="B10" i="3"/>
  <c r="H10" i="3" s="1"/>
  <c r="B8" i="3"/>
  <c r="G8" i="3" s="1"/>
  <c r="D6" i="3"/>
  <c r="C6" i="3"/>
  <c r="C9" i="3"/>
  <c r="C8" i="3"/>
  <c r="C7" i="3"/>
  <c r="C5" i="3"/>
  <c r="C4" i="3"/>
  <c r="C10" i="3"/>
  <c r="D9" i="3"/>
  <c r="F9" i="3" s="1"/>
  <c r="C18" i="3" s="1"/>
  <c r="D10" i="3"/>
  <c r="H9" i="3"/>
  <c r="E9" i="3"/>
  <c r="B18" i="3" s="1"/>
  <c r="F5" i="3"/>
  <c r="C14" i="3" s="1"/>
  <c r="G5" i="3"/>
  <c r="H4" i="3"/>
  <c r="E4" i="3"/>
  <c r="B13" i="3" s="1"/>
  <c r="F7" i="3"/>
  <c r="C16" i="3" s="1"/>
  <c r="G7" i="3"/>
  <c r="H5" i="3"/>
  <c r="E5" i="3"/>
  <c r="B14" i="3" s="1"/>
  <c r="F8" i="3"/>
  <c r="C17" i="3" s="1"/>
  <c r="H8" i="3"/>
  <c r="E7" i="3"/>
  <c r="B16" i="3" s="1"/>
  <c r="H7" i="3"/>
  <c r="G6" i="3"/>
  <c r="F6" i="3"/>
  <c r="C15" i="3" s="1"/>
  <c r="H6" i="3"/>
  <c r="E6" i="3"/>
  <c r="B15" i="3" s="1"/>
  <c r="G4" i="3"/>
  <c r="F4" i="3"/>
  <c r="C13" i="3" s="1"/>
  <c r="E8" i="3" l="1"/>
  <c r="B17" i="3" s="1"/>
  <c r="E10" i="3"/>
  <c r="B19" i="3" s="1"/>
  <c r="G9" i="3"/>
  <c r="G10" i="3"/>
  <c r="F10" i="3"/>
  <c r="C19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<sst xmlns="http://schemas.openxmlformats.org/spreadsheetml/2006/main" count="160" uniqueCount="145">
  <si>
    <t>🦢  SIMULADOR DE RIESGOS COSTCO — Black Swan Edition</t>
  </si>
  <si>
    <t xml:space="preserve">  ⚙  CONTROLES DE ESCENARIO</t>
  </si>
  <si>
    <t>Riesgo de Mercado (Valuation)</t>
  </si>
  <si>
    <t>Riesgo Macroeconómico</t>
  </si>
  <si>
    <t>Riesgo Operativo / Cisne Negro</t>
  </si>
  <si>
    <t>Precio Actual (COST):</t>
  </si>
  <si>
    <t>P/E Actual:</t>
  </si>
  <si>
    <t>Nota:</t>
  </si>
  <si>
    <t>Modifique celdas azules (B4, D4) para actualizar toda la matriz</t>
  </si>
  <si>
    <t>Fuente: Precio de mercado actual COST</t>
  </si>
  <si>
    <t>Fuente: Consenso Bloomberg / FactSet, May 2026</t>
  </si>
  <si>
    <t>Modificar inputs en celdas azules →</t>
  </si>
  <si>
    <t xml:space="preserve">  📊  MATRIZ DE VALORACIÓN ESTRESADA  —  Fair Value vs Macro</t>
  </si>
  <si>
    <t>Shock de Tasa  \  P/E Objetivo →</t>
  </si>
  <si>
    <t>15x P/E</t>
  </si>
  <si>
    <t>25x P/E</t>
  </si>
  <si>
    <t>35x P/E</t>
  </si>
  <si>
    <t>50x P/E</t>
  </si>
  <si>
    <t>60x P/E</t>
  </si>
  <si>
    <t>+0.0%  (Base)</t>
  </si>
  <si>
    <t>+0.5%</t>
  </si>
  <si>
    <t>+1.0%</t>
  </si>
  <si>
    <t>+2.5%</t>
  </si>
  <si>
    <t>+5.0%  (Pánico 🚨)</t>
  </si>
  <si>
    <t xml:space="preserve">  📈  UPSIDE / DOWNSIDE vs. PRECIO ACTUAL</t>
  </si>
  <si>
    <t>🚨  ALERTA: Si el Fair Value estresado (35x P/E, +2.5% Tasa) implica caída &gt;30%, revisar posición.</t>
  </si>
  <si>
    <t xml:space="preserve">  🦢  GLOSARIO DE CISNES NEGROS  —  Eventos de Cola para COST</t>
  </si>
  <si>
    <t>#</t>
  </si>
  <si>
    <t>Evento</t>
  </si>
  <si>
    <t>Descripción del Riesgo</t>
  </si>
  <si>
    <t>1</t>
  </si>
  <si>
    <t>Disrupción de Membresía</t>
  </si>
  <si>
    <t>El gobierno federal prohíbe o regula el modelo de suscripción tipo club. Las membresías representan ~80% del ingreso operativo; una prohibición eliminaría el moat estructural.</t>
  </si>
  <si>
    <t>2</t>
  </si>
  <si>
    <t>Bloqueo del Pacífico</t>
  </si>
  <si>
    <t>Cierre prolongado del comercio con Asia (tensión geopolítica o pandemia logística). Costco opera con rotación extrema de inventario — los estantes se vaciarían en semanas.</t>
  </si>
  <si>
    <t>3</t>
  </si>
  <si>
    <t>Crisis Kirkland Signature</t>
  </si>
  <si>
    <t>Problema sanitario masivo ligado a la marca propia (contaminación, retiro masivo). Kirkland genera ~$60B en ventas anuales; destruiría la confianza del socio en días.</t>
  </si>
  <si>
    <t>4</t>
  </si>
  <si>
    <t>Compresión de Múltiplos</t>
  </si>
  <si>
    <t>El mercado deja de valorar a Costco como 'tech/crecimiento' (50x P/E actual) y lo reclasifica como retail tradicional (15x P/E). Caída implícita del precio: ~70%.</t>
  </si>
  <si>
    <t>5</t>
  </si>
  <si>
    <t>Entrada Disruptiva de Amazon/Alibaba</t>
  </si>
  <si>
    <t>Un competidor lanza un modelo de membresía con entrega 2-horas a precios iguales. Amenaza directa a la propuesta de valor del viaje físico al almacén.</t>
  </si>
  <si>
    <t xml:space="preserve">  📋  REFERENCIA RÁPIDA — Supuestos del Modelo</t>
  </si>
  <si>
    <t>Sensibilidad de Tipo de Interés</t>
  </si>
  <si>
    <t>Por cada +1% en la tasa Fed, se aplica un factor de compresión del 6% al múltiplo P/E objetivo. Base empírica: correlación histórica tasa-múltiplo en mercados de renta variable (2004-2024).</t>
  </si>
  <si>
    <t>EPS Implícito</t>
  </si>
  <si>
    <t>EPS = Precio Actual / P/E Actual. No se proyectan crecimientos; el modelo es una foto del valor intrínseco bajo distintos escenarios de múltiplo y entorno macro.</t>
  </si>
  <si>
    <t>Columna 15x P/E</t>
  </si>
  <si>
    <t>Representa el escenario de 'reclasificación a retail tradicional' (Cisne Negro #4). Target históricamente usado para valorar Walmart, Target, etc.</t>
  </si>
  <si>
    <t>Columna 50x P/E</t>
  </si>
  <si>
    <t>Equivale al múltiplo actual de mercado. Fair Value = Precio Actual cuando no hay shock de tasa.</t>
  </si>
  <si>
    <t>⚠  Solo con fines educativos / análisis de inversión personal. No constituye asesoramiento financiero. | Fuentes: Precio y P/E: Bloomberg/FactSet May 2026 | Modelo: Tiendas MD Investment Research</t>
  </si>
  <si>
    <t>🎲  SIMULACIÓN MONTE CARLO — Distribución del Fair Value (COST)</t>
  </si>
  <si>
    <t xml:space="preserve">  ⚙  PARÁMETROS  |  Precio y P/E sincronizados con Hoja 1 (B4 y D4) — conecta allí tu fuente en tiempo real</t>
  </si>
  <si>
    <t>Precio Actual (COST)</t>
  </si>
  <si>
    <t>🔗 Sincronizado con Hoja 1, B4 → conectar a Google Finance / cotización en tiempo real</t>
  </si>
  <si>
    <t>P/E Actual (TTM)</t>
  </si>
  <si>
    <t>🔗 Sincronizado con Hoja 1, D4 → conectar a Google Finance / cotización en tiempo real</t>
  </si>
  <si>
    <t xml:space="preserve"> = Precio ÷ P/E (calculado automático)</t>
  </si>
  <si>
    <t>P/E Medio Simulación (μ)</t>
  </si>
  <si>
    <t>✏️  Media histórica 5Y ajustada — modificable aquí</t>
  </si>
  <si>
    <t>P/E Desv. Estándar (σ)</t>
  </si>
  <si>
    <t>✏️  Volatilidad del múltiplo — modificable aquí</t>
  </si>
  <si>
    <t>Shock Tasa Medio (μ)</t>
  </si>
  <si>
    <t>✏️  Escenario base Fed — modificable aquí</t>
  </si>
  <si>
    <t>Shock Tasa Desv. (σ)</t>
  </si>
  <si>
    <t>✏️  Dispersión macro — modificable aquí</t>
  </si>
  <si>
    <t xml:space="preserve">  📊  RESULTADOS ESTADÍSTICOS  (N=2,000 — EPS sincronizado con Hoja 1)</t>
  </si>
  <si>
    <t>Métrica</t>
  </si>
  <si>
    <t>Valor</t>
  </si>
  <si>
    <t>Interpretación</t>
  </si>
  <si>
    <t>Fair Value Esperado (μ)</t>
  </si>
  <si>
    <t>Promedio de 2,000 simulaciones. Referencia central del modelo.</t>
  </si>
  <si>
    <t>Mediana Fair Value</t>
  </si>
  <si>
    <t>50% de simulaciones caen por debajo de este valor.</t>
  </si>
  <si>
    <t>Desviación Estándar (σ)</t>
  </si>
  <si>
    <t>Dispersión de posibles Fair Values. Mayor σ = mayor incertidumbre.</t>
  </si>
  <si>
    <t>Percentil 5% — Worst Case</t>
  </si>
  <si>
    <t>Solo el 5% de escenarios producen un precio menor. Proxy de tail risk.</t>
  </si>
  <si>
    <t>Percentil 25%</t>
  </si>
  <si>
    <t>Cuartil inferior — escenario pesimista moderado.</t>
  </si>
  <si>
    <t>Percentil 75%</t>
  </si>
  <si>
    <t>Cuartil superior — escenario optimista moderado.</t>
  </si>
  <si>
    <t>Percentil 95% — Best Case</t>
  </si>
  <si>
    <t>Solo el 5% de escenarios superan este precio.</t>
  </si>
  <si>
    <t>Prob. Pérdida vs Precio Actual</t>
  </si>
  <si>
    <t>% simulaciones con Fair Value &lt; Precio Actual (Hoja 1, B4)</t>
  </si>
  <si>
    <t>Prob. Upside &gt;10%</t>
  </si>
  <si>
    <t>% simulaciones con Fair Value &gt; Precio Actual × 1.10</t>
  </si>
  <si>
    <t>ℹ️  Al cambiar Precio o P/E en Hoja 1 (o cuando se actualicen en tiempo real), el EPS implícito cambia automáticamente. Los percentiles son la distribución actual — para recalibrar la simulación completa, actualiza los parámetros μ/σ arriba.</t>
  </si>
  <si>
    <t xml:space="preserve">  📈  HISTOGRAMA DE DISTRIBUCIÓN  (2,000 iteraciones)</t>
  </si>
  <si>
    <t>Rango Fair Value</t>
  </si>
  <si>
    <t>Frecuencia (#sims)</t>
  </si>
  <si>
    <t>Frecuencia (%)</t>
  </si>
  <si>
    <t>$209</t>
  </si>
  <si>
    <t>$267</t>
  </si>
  <si>
    <t>$325</t>
  </si>
  <si>
    <t>$382</t>
  </si>
  <si>
    <t>$440</t>
  </si>
  <si>
    <t>$498</t>
  </si>
  <si>
    <t>$556</t>
  </si>
  <si>
    <t>$614</t>
  </si>
  <si>
    <t>$671</t>
  </si>
  <si>
    <t>$729</t>
  </si>
  <si>
    <t>$787</t>
  </si>
  <si>
    <t>$845</t>
  </si>
  <si>
    <t>$903</t>
  </si>
  <si>
    <t>$960</t>
  </si>
  <si>
    <t>$1018</t>
  </si>
  <si>
    <t>$1076</t>
  </si>
  <si>
    <t>$1134</t>
  </si>
  <si>
    <t>$1192</t>
  </si>
  <si>
    <t>$1249</t>
  </si>
  <si>
    <t>$1307</t>
  </si>
  <si>
    <t>$1365</t>
  </si>
  <si>
    <t>🌪  TORNADO — Impacto de Cisnes Negros en Fair Value (COST)</t>
  </si>
  <si>
    <t xml:space="preserve">  Precio base y EPS sincronizados con Hoja 1 (B4 / D4) — se actualizan con la cotización en tiempo real</t>
  </si>
  <si>
    <t>Factor de Riesgo</t>
  </si>
  <si>
    <t>FV Pesimista</t>
  </si>
  <si>
    <t>FV Base (actual)</t>
  </si>
  <si>
    <t>FV Optimista</t>
  </si>
  <si>
    <t>Δ Bajo ($)</t>
  </si>
  <si>
    <t>Δ Alto ($)</t>
  </si>
  <si>
    <t>Rango Total ($)</t>
  </si>
  <si>
    <t>% Impacto</t>
  </si>
  <si>
    <t>P/E Compresión a 15x (Reclasif. Retail)</t>
  </si>
  <si>
    <t>Shock de Tasa +5% — Pánico Fed</t>
  </si>
  <si>
    <t>Crisis Kirkland Signature (−40% EPS)</t>
  </si>
  <si>
    <t>Disrupción Membresías (−80% Op. Income)</t>
  </si>
  <si>
    <t>Bloqueo del Pacífico (−25% Revenue)</t>
  </si>
  <si>
    <t>Entrada Amazon/Alibaba (−15% Mkt Share)</t>
  </si>
  <si>
    <t>Compresión P/E moderada (35x, +1% Tasa)</t>
  </si>
  <si>
    <t>[Rango auxiliar para gráfico — no modificar]</t>
  </si>
  <si>
    <t>P/E Compresión a 15x (Reclasif. Retail</t>
  </si>
  <si>
    <t>Disrupción Membresías (−80% Op. Income</t>
  </si>
  <si>
    <t>Entrada Amazon/Alibaba (−15% Mkt Share</t>
  </si>
  <si>
    <t>Compresión P/E moderada (35x, +1% Tasa</t>
  </si>
  <si>
    <t xml:space="preserve">  🔍  LECTURA — Todos los valores se recalculan automáticamente cuando cambia B4 o D4 en Hoja 1.</t>
  </si>
  <si>
    <t>Ticker</t>
  </si>
  <si>
    <t>Precio</t>
  </si>
  <si>
    <t>Ratio P/E</t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</si>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</sst>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.00"/>
    <numFmt numFmtId="165" formatCode="0.0\x"/>
    <numFmt numFmtId="166" formatCode="0.0%;\(0.0%\);\-"/>
    <numFmt numFmtId="167" formatCode="0.00\x"/>
    <numFmt numFmtId="168" formatCode="0.0"/>
    <numFmt numFmtId="169" formatCode="0.0%"/>
    <numFmt numFmtId="170" formatCode="\$#,##0.00;&quot;($&quot;#,##0.00\)"/>
    <numFmt numFmtId="171" formatCode="0.0%;\(0.0%\)"/>
    <numFmt numFmtId="172" formatCode="_([$$-409]* #,##0.00_);_([$$-409]* \(#,##0.00\);_([$$-409]* &quot;-&quot;??_);_(@_)"/>
  </numFmts>
  <fonts count="34" x14ac:knownFonts="1">
    <font>
      <sz val="11"/>
      <color theme="1"/>
      <name val="Calibri"/>
      <family val="2"/>
      <charset val="1"/>
    </font>
    <font>
      <b/>
      <sz val="16"/>
      <color rgb="FFE040FB"/>
      <name val="Calibri"/>
      <family val="2"/>
    </font>
    <font>
      <b/>
      <sz val="12"/>
      <color rgb="FFE040FB"/>
      <name val="Calibri"/>
      <family val="2"/>
    </font>
    <font>
      <b/>
      <sz val="10"/>
      <color rgb="FFFFFFFF"/>
      <name val="Calibri"/>
      <family val="2"/>
    </font>
    <font>
      <b/>
      <sz val="10"/>
      <color rgb="FFEEEEEE"/>
      <name val="Calibri"/>
      <family val="2"/>
    </font>
    <font>
      <b/>
      <sz val="12"/>
      <color rgb="FF64B5F6"/>
      <name val="Calibri"/>
      <family val="2"/>
    </font>
    <font>
      <b/>
      <sz val="9"/>
      <color rgb="FFEEEEEE"/>
      <name val="Calibri"/>
      <family val="2"/>
    </font>
    <font>
      <i/>
      <sz val="9"/>
      <color rgb="FFFFD54F"/>
      <name val="Calibri"/>
      <family val="2"/>
    </font>
    <font>
      <i/>
      <sz val="8"/>
      <color rgb="FF9E9E9E"/>
      <name val="Calibri"/>
      <family val="2"/>
    </font>
    <font>
      <b/>
      <sz val="11"/>
      <color rgb="FFFFFFFF"/>
      <name val="Calibri"/>
      <family val="2"/>
    </font>
    <font>
      <sz val="10"/>
      <color rgb="FFFFFFFF"/>
      <name val="Calibri"/>
      <family val="2"/>
    </font>
    <font>
      <b/>
      <sz val="10"/>
      <color rgb="FFFF8A80"/>
      <name val="Calibri"/>
      <family val="2"/>
    </font>
    <font>
      <b/>
      <sz val="10"/>
      <color rgb="FFFFD54F"/>
      <name val="Calibri"/>
      <family val="2"/>
    </font>
    <font>
      <b/>
      <sz val="12"/>
      <color rgb="FFFFD54F"/>
      <name val="Calibri"/>
      <family val="2"/>
    </font>
    <font>
      <b/>
      <sz val="10"/>
      <color rgb="FFFF8A65"/>
      <name val="Calibri"/>
      <family val="2"/>
    </font>
    <font>
      <sz val="9"/>
      <color rgb="FFEEEEEE"/>
      <name val="Calibri"/>
      <family val="2"/>
    </font>
    <font>
      <b/>
      <sz val="10"/>
      <color rgb="FF80CBC4"/>
      <name val="Calibri"/>
      <family val="2"/>
    </font>
    <font>
      <i/>
      <sz val="8"/>
      <color rgb="FF757575"/>
      <name val="Calibri"/>
      <family val="2"/>
    </font>
    <font>
      <b/>
      <sz val="15"/>
      <color rgb="FFE040FB"/>
      <name val="Calibri"/>
      <family val="2"/>
    </font>
    <font>
      <b/>
      <sz val="11"/>
      <color rgb="FFE040FB"/>
      <name val="Calibri"/>
      <family val="2"/>
    </font>
    <font>
      <b/>
      <sz val="11"/>
      <color rgb="FF64B5F6"/>
      <name val="Calibri"/>
      <family val="2"/>
    </font>
    <font>
      <i/>
      <sz val="9"/>
      <color rgb="FF9E9E9E"/>
      <name val="Calibri"/>
      <family val="2"/>
    </font>
    <font>
      <b/>
      <sz val="11"/>
      <color rgb="FFFFD54F"/>
      <name val="Calibri"/>
      <family val="2"/>
    </font>
    <font>
      <sz val="9"/>
      <color rgb="FFFFFFFF"/>
      <name val="Calibri"/>
      <family val="2"/>
    </font>
    <font>
      <sz val="9"/>
      <color rgb="FFFFD54F"/>
      <name val="Calibri"/>
      <family val="2"/>
    </font>
    <font>
      <i/>
      <sz val="10"/>
      <color rgb="FFFFD54F"/>
      <name val="Calibri"/>
      <family val="2"/>
    </font>
    <font>
      <b/>
      <sz val="9"/>
      <color rgb="FFFFFFFF"/>
      <name val="Calibri"/>
      <family val="2"/>
    </font>
    <font>
      <b/>
      <sz val="10"/>
      <color rgb="FFFF7043"/>
      <name val="Calibri"/>
      <family val="2"/>
    </font>
    <font>
      <b/>
      <sz val="10"/>
      <color rgb="FFBDBDBD"/>
      <name val="Calibri"/>
      <family val="2"/>
    </font>
    <font>
      <b/>
      <sz val="10"/>
      <color rgb="FF66BB6A"/>
      <name val="Calibri"/>
      <family val="2"/>
    </font>
    <font>
      <b/>
      <sz val="10"/>
      <color rgb="FFEF5350"/>
      <name val="Calibri"/>
      <family val="2"/>
    </font>
    <font>
      <i/>
      <sz val="8"/>
      <color rgb="FF555555"/>
      <name val="Calibri"/>
      <family val="2"/>
    </font>
    <font>
      <sz val="8"/>
      <color rgb="FF777777"/>
      <name val="Calibri"/>
      <family val="2"/>
    </font>
    <font>
      <b/>
      <sz val="10"/>
      <color rgb="FFE040FB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1E1E2E"/>
        <bgColor rgb="FF1A1A2E"/>
      </patternFill>
    </fill>
    <fill>
      <patternFill patternType="solid">
        <fgColor rgb="FF2D2D44"/>
        <bgColor rgb="FF303050"/>
      </patternFill>
    </fill>
    <fill>
      <patternFill patternType="solid">
        <fgColor rgb="FF1565C0"/>
        <bgColor rgb="FF0D47A1"/>
      </patternFill>
    </fill>
    <fill>
      <patternFill patternType="solid">
        <fgColor rgb="FF558B2F"/>
        <bgColor rgb="FF2E7D32"/>
      </patternFill>
    </fill>
    <fill>
      <patternFill patternType="solid">
        <fgColor rgb="FF6A1515"/>
        <bgColor rgb="FF800000"/>
      </patternFill>
    </fill>
    <fill>
      <patternFill patternType="solid">
        <fgColor rgb="FF303050"/>
        <bgColor rgb="FF2D2D44"/>
      </patternFill>
    </fill>
    <fill>
      <patternFill patternType="solid">
        <fgColor rgb="FFEF5350"/>
        <bgColor rgb="FFFF7043"/>
      </patternFill>
    </fill>
    <fill>
      <patternFill patternType="solid">
        <fgColor rgb="FFFF7043"/>
        <bgColor rgb="FFF57F17"/>
      </patternFill>
    </fill>
    <fill>
      <patternFill patternType="solid">
        <fgColor rgb="FFFFA726"/>
        <bgColor rgb="FFFF8A65"/>
      </patternFill>
    </fill>
    <fill>
      <patternFill patternType="solid">
        <fgColor rgb="FF66BB6A"/>
        <bgColor rgb="FF80CBC4"/>
      </patternFill>
    </fill>
    <fill>
      <patternFill patternType="solid">
        <fgColor rgb="FF26A69A"/>
        <bgColor rgb="FF4F81BD"/>
      </patternFill>
    </fill>
    <fill>
      <patternFill patternType="solid">
        <fgColor rgb="FF1B5E20"/>
        <bgColor rgb="FF2E7D32"/>
      </patternFill>
    </fill>
    <fill>
      <patternFill patternType="solid">
        <fgColor rgb="FF2E7D32"/>
        <bgColor rgb="FF558B2F"/>
      </patternFill>
    </fill>
    <fill>
      <patternFill patternType="solid">
        <fgColor rgb="FFF57F17"/>
        <bgColor rgb="FFFF7043"/>
      </patternFill>
    </fill>
    <fill>
      <patternFill patternType="solid">
        <fgColor rgb="FFB71C1C"/>
        <bgColor rgb="FF800000"/>
      </patternFill>
    </fill>
    <fill>
      <patternFill patternType="solid">
        <fgColor rgb="FF1A237E"/>
        <bgColor rgb="FF283593"/>
      </patternFill>
    </fill>
    <fill>
      <patternFill patternType="solid">
        <fgColor rgb="FF283593"/>
        <bgColor rgb="FF303F9F"/>
      </patternFill>
    </fill>
    <fill>
      <patternFill patternType="solid">
        <fgColor rgb="FF303F9F"/>
        <bgColor rgb="FF283593"/>
      </patternFill>
    </fill>
    <fill>
      <patternFill patternType="solid">
        <fgColor rgb="FF3949AB"/>
        <bgColor rgb="FF3F51B5"/>
      </patternFill>
    </fill>
    <fill>
      <patternFill patternType="solid">
        <fgColor rgb="FF3F51B5"/>
        <bgColor rgb="FF3949AB"/>
      </patternFill>
    </fill>
    <fill>
      <patternFill patternType="solid">
        <fgColor rgb="FF212121"/>
        <bgColor rgb="FF1E1E2E"/>
      </patternFill>
    </fill>
    <fill>
      <patternFill patternType="solid">
        <fgColor rgb="FF1A1A2E"/>
        <bgColor rgb="FF1E1E2E"/>
      </patternFill>
    </fill>
    <fill>
      <patternFill patternType="solid">
        <fgColor rgb="FF37474F"/>
        <bgColor rgb="FF444466"/>
      </patternFill>
    </fill>
    <fill>
      <patternFill patternType="solid">
        <fgColor rgb="FF4A148C"/>
        <bgColor rgb="FF1A237E"/>
      </patternFill>
    </fill>
    <fill>
      <patternFill patternType="solid">
        <fgColor rgb="FF0D47A1"/>
        <bgColor rgb="FF303F9F"/>
      </patternFill>
    </fill>
    <fill>
      <patternFill patternType="solid">
        <fgColor rgb="FF111111"/>
        <bgColor rgb="FF1A1A2E"/>
      </patternFill>
    </fill>
  </fills>
  <borders count="3">
    <border>
      <left/>
      <right/>
      <top/>
      <bottom/>
      <diagonal/>
    </border>
    <border>
      <left style="thin">
        <color rgb="FF444466"/>
      </left>
      <right/>
      <top style="thin">
        <color rgb="FF444466"/>
      </top>
      <bottom style="thin">
        <color rgb="FF444466"/>
      </bottom>
      <diagonal/>
    </border>
    <border>
      <left style="thin">
        <color rgb="FF444466"/>
      </left>
      <right style="thin">
        <color rgb="FF444466"/>
      </right>
      <top style="thin">
        <color rgb="FF444466"/>
      </top>
      <bottom style="thin">
        <color rgb="FF444466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15" fillId="21" borderId="0" xfId="0" applyFont="1" applyFill="1" applyAlignment="1">
      <alignment horizontal="left" vertical="center" wrapText="1"/>
    </xf>
    <xf numFmtId="0" fontId="15" fillId="20" borderId="0" xfId="0" applyFont="1" applyFill="1" applyAlignment="1">
      <alignment horizontal="left" vertical="center" wrapText="1"/>
    </xf>
    <xf numFmtId="0" fontId="15" fillId="19" borderId="0" xfId="0" applyFont="1" applyFill="1" applyAlignment="1">
      <alignment horizontal="left" vertical="center" wrapText="1"/>
    </xf>
    <xf numFmtId="0" fontId="15" fillId="18" borderId="0" xfId="0" applyFont="1" applyFill="1" applyAlignment="1">
      <alignment horizontal="left" vertical="center" wrapText="1"/>
    </xf>
    <xf numFmtId="0" fontId="15" fillId="17" borderId="0" xfId="0" applyFont="1" applyFill="1" applyAlignment="1">
      <alignment horizontal="left" vertical="center" wrapText="1"/>
    </xf>
    <xf numFmtId="0" fontId="12" fillId="7" borderId="0" xfId="0" applyFont="1" applyFill="1" applyAlignment="1">
      <alignment horizontal="center" vertical="center"/>
    </xf>
    <xf numFmtId="0" fontId="11" fillId="16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 wrapText="1"/>
    </xf>
    <xf numFmtId="0" fontId="3" fillId="6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3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64" fontId="9" fillId="13" borderId="0" xfId="0" applyNumberFormat="1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164" fontId="9" fillId="14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164" fontId="9" fillId="5" borderId="0" xfId="0" applyNumberFormat="1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164" fontId="9" fillId="15" borderId="0" xfId="0" applyNumberFormat="1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164" fontId="9" fillId="16" borderId="0" xfId="0" applyNumberFormat="1" applyFont="1" applyFill="1" applyAlignment="1">
      <alignment horizontal="center" vertical="center"/>
    </xf>
    <xf numFmtId="166" fontId="9" fillId="13" borderId="0" xfId="0" applyNumberFormat="1" applyFont="1" applyFill="1" applyAlignment="1">
      <alignment horizontal="center" vertical="center"/>
    </xf>
    <xf numFmtId="166" fontId="9" fillId="14" borderId="0" xfId="0" applyNumberFormat="1" applyFont="1" applyFill="1" applyAlignment="1">
      <alignment horizontal="center" vertical="center"/>
    </xf>
    <xf numFmtId="166" fontId="9" fillId="5" borderId="0" xfId="0" applyNumberFormat="1" applyFont="1" applyFill="1" applyAlignment="1">
      <alignment horizontal="center" vertical="center"/>
    </xf>
    <xf numFmtId="166" fontId="9" fillId="15" borderId="0" xfId="0" applyNumberFormat="1" applyFont="1" applyFill="1" applyAlignment="1">
      <alignment horizontal="center" vertical="center"/>
    </xf>
    <xf numFmtId="166" fontId="9" fillId="16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4" fillId="17" borderId="0" xfId="0" applyFont="1" applyFill="1" applyAlignment="1">
      <alignment horizontal="left" vertical="center"/>
    </xf>
    <xf numFmtId="0" fontId="13" fillId="18" borderId="0" xfId="0" applyFont="1" applyFill="1" applyAlignment="1">
      <alignment horizontal="center" vertical="center"/>
    </xf>
    <xf numFmtId="0" fontId="14" fillId="18" borderId="0" xfId="0" applyFont="1" applyFill="1" applyAlignment="1">
      <alignment horizontal="left" vertical="center"/>
    </xf>
    <xf numFmtId="0" fontId="13" fillId="19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left" vertical="center"/>
    </xf>
    <xf numFmtId="0" fontId="13" fillId="20" borderId="0" xfId="0" applyFont="1" applyFill="1" applyAlignment="1">
      <alignment horizontal="center" vertical="center"/>
    </xf>
    <xf numFmtId="0" fontId="14" fillId="20" borderId="0" xfId="0" applyFont="1" applyFill="1" applyAlignment="1">
      <alignment horizontal="left" vertical="center"/>
    </xf>
    <xf numFmtId="0" fontId="13" fillId="21" borderId="0" xfId="0" applyFont="1" applyFill="1" applyAlignment="1">
      <alignment horizontal="center" vertical="center"/>
    </xf>
    <xf numFmtId="0" fontId="14" fillId="21" borderId="0" xfId="0" applyFont="1" applyFill="1" applyAlignment="1">
      <alignment horizontal="left" vertical="center"/>
    </xf>
    <xf numFmtId="0" fontId="16" fillId="22" borderId="0" xfId="0" applyFont="1" applyFill="1" applyAlignment="1">
      <alignment horizontal="left" vertical="center" wrapText="1"/>
    </xf>
    <xf numFmtId="0" fontId="16" fillId="23" borderId="0" xfId="0" applyFont="1" applyFill="1" applyAlignment="1">
      <alignment horizontal="left" vertical="center" wrapText="1"/>
    </xf>
    <xf numFmtId="164" fontId="0" fillId="0" borderId="0" xfId="0" applyNumberFormat="1"/>
    <xf numFmtId="0" fontId="4" fillId="2" borderId="2" xfId="0" applyFont="1" applyFill="1" applyBorder="1" applyAlignment="1">
      <alignment horizontal="left" vertical="center"/>
    </xf>
    <xf numFmtId="164" fontId="20" fillId="2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167" fontId="20" fillId="2" borderId="2" xfId="0" applyNumberFormat="1" applyFont="1" applyFill="1" applyBorder="1" applyAlignment="1">
      <alignment horizontal="center" vertical="center"/>
    </xf>
    <xf numFmtId="165" fontId="22" fillId="2" borderId="2" xfId="0" applyNumberFormat="1" applyFont="1" applyFill="1" applyBorder="1" applyAlignment="1">
      <alignment horizontal="center" vertical="center"/>
    </xf>
    <xf numFmtId="168" fontId="22" fillId="2" borderId="2" xfId="0" applyNumberFormat="1" applyFont="1" applyFill="1" applyBorder="1" applyAlignment="1">
      <alignment horizontal="center" vertical="center"/>
    </xf>
    <xf numFmtId="169" fontId="22" fillId="2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3" fillId="17" borderId="2" xfId="0" applyFont="1" applyFill="1" applyBorder="1" applyAlignment="1">
      <alignment horizontal="left" vertical="center"/>
    </xf>
    <xf numFmtId="164" fontId="13" fillId="17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left" vertical="center"/>
    </xf>
    <xf numFmtId="164" fontId="13" fillId="13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left" vertical="center"/>
    </xf>
    <xf numFmtId="164" fontId="13" fillId="18" borderId="2" xfId="0" applyNumberFormat="1" applyFont="1" applyFill="1" applyBorder="1" applyAlignment="1">
      <alignment horizontal="center" vertical="center"/>
    </xf>
    <xf numFmtId="0" fontId="3" fillId="24" borderId="2" xfId="0" applyFont="1" applyFill="1" applyBorder="1" applyAlignment="1">
      <alignment horizontal="left" vertical="center"/>
    </xf>
    <xf numFmtId="164" fontId="13" fillId="24" borderId="2" xfId="0" applyNumberFormat="1" applyFont="1" applyFill="1" applyBorder="1" applyAlignment="1">
      <alignment horizontal="center" vertical="center"/>
    </xf>
    <xf numFmtId="0" fontId="3" fillId="25" borderId="2" xfId="0" applyFont="1" applyFill="1" applyBorder="1" applyAlignment="1">
      <alignment horizontal="left" vertical="center"/>
    </xf>
    <xf numFmtId="164" fontId="13" fillId="25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left" vertical="center"/>
    </xf>
    <xf numFmtId="169" fontId="13" fillId="16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left" vertical="center"/>
    </xf>
    <xf numFmtId="169" fontId="13" fillId="14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3" fontId="23" fillId="16" borderId="2" xfId="0" applyNumberFormat="1" applyFont="1" applyFill="1" applyBorder="1" applyAlignment="1">
      <alignment horizontal="center" vertical="center"/>
    </xf>
    <xf numFmtId="0" fontId="23" fillId="24" borderId="2" xfId="0" applyFont="1" applyFill="1" applyBorder="1" applyAlignment="1">
      <alignment horizontal="center" vertical="center"/>
    </xf>
    <xf numFmtId="3" fontId="23" fillId="24" borderId="2" xfId="0" applyNumberFormat="1" applyFont="1" applyFill="1" applyBorder="1" applyAlignment="1">
      <alignment horizontal="center" vertical="center"/>
    </xf>
    <xf numFmtId="0" fontId="23" fillId="13" borderId="2" xfId="0" applyFont="1" applyFill="1" applyBorder="1" applyAlignment="1">
      <alignment horizontal="center" vertical="center"/>
    </xf>
    <xf numFmtId="3" fontId="23" fillId="13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26" fillId="17" borderId="2" xfId="0" applyFont="1" applyFill="1" applyBorder="1" applyAlignment="1">
      <alignment horizontal="left" vertical="center" wrapText="1"/>
    </xf>
    <xf numFmtId="164" fontId="27" fillId="17" borderId="2" xfId="0" applyNumberFormat="1" applyFont="1" applyFill="1" applyBorder="1" applyAlignment="1">
      <alignment horizontal="center" vertical="center"/>
    </xf>
    <xf numFmtId="164" fontId="28" fillId="17" borderId="2" xfId="0" applyNumberFormat="1" applyFont="1" applyFill="1" applyBorder="1" applyAlignment="1">
      <alignment horizontal="center" vertical="center"/>
    </xf>
    <xf numFmtId="164" fontId="29" fillId="17" borderId="2" xfId="0" applyNumberFormat="1" applyFont="1" applyFill="1" applyBorder="1" applyAlignment="1">
      <alignment horizontal="center" vertical="center"/>
    </xf>
    <xf numFmtId="170" fontId="30" fillId="17" borderId="2" xfId="0" applyNumberFormat="1" applyFont="1" applyFill="1" applyBorder="1" applyAlignment="1">
      <alignment horizontal="center" vertical="center"/>
    </xf>
    <xf numFmtId="164" fontId="12" fillId="17" borderId="2" xfId="0" applyNumberFormat="1" applyFont="1" applyFill="1" applyBorder="1" applyAlignment="1">
      <alignment horizontal="center" vertical="center"/>
    </xf>
    <xf numFmtId="171" fontId="11" fillId="17" borderId="2" xfId="0" applyNumberFormat="1" applyFont="1" applyFill="1" applyBorder="1" applyAlignment="1">
      <alignment horizontal="center" vertical="center"/>
    </xf>
    <xf numFmtId="0" fontId="26" fillId="25" borderId="2" xfId="0" applyFont="1" applyFill="1" applyBorder="1" applyAlignment="1">
      <alignment horizontal="left" vertical="center" wrapText="1"/>
    </xf>
    <xf numFmtId="164" fontId="27" fillId="25" borderId="2" xfId="0" applyNumberFormat="1" applyFont="1" applyFill="1" applyBorder="1" applyAlignment="1">
      <alignment horizontal="center" vertical="center"/>
    </xf>
    <xf numFmtId="164" fontId="28" fillId="25" borderId="2" xfId="0" applyNumberFormat="1" applyFont="1" applyFill="1" applyBorder="1" applyAlignment="1">
      <alignment horizontal="center" vertical="center"/>
    </xf>
    <xf numFmtId="164" fontId="29" fillId="25" borderId="2" xfId="0" applyNumberFormat="1" applyFont="1" applyFill="1" applyBorder="1" applyAlignment="1">
      <alignment horizontal="center" vertical="center"/>
    </xf>
    <xf numFmtId="170" fontId="30" fillId="25" borderId="2" xfId="0" applyNumberFormat="1" applyFont="1" applyFill="1" applyBorder="1" applyAlignment="1">
      <alignment horizontal="center" vertical="center"/>
    </xf>
    <xf numFmtId="164" fontId="12" fillId="25" borderId="2" xfId="0" applyNumberFormat="1" applyFont="1" applyFill="1" applyBorder="1" applyAlignment="1">
      <alignment horizontal="center" vertical="center"/>
    </xf>
    <xf numFmtId="171" fontId="11" fillId="25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 wrapText="1"/>
    </xf>
    <xf numFmtId="164" fontId="27" fillId="16" borderId="2" xfId="0" applyNumberFormat="1" applyFont="1" applyFill="1" applyBorder="1" applyAlignment="1">
      <alignment horizontal="center" vertical="center"/>
    </xf>
    <xf numFmtId="164" fontId="28" fillId="16" borderId="2" xfId="0" applyNumberFormat="1" applyFont="1" applyFill="1" applyBorder="1" applyAlignment="1">
      <alignment horizontal="center" vertical="center"/>
    </xf>
    <xf numFmtId="164" fontId="29" fillId="16" borderId="2" xfId="0" applyNumberFormat="1" applyFont="1" applyFill="1" applyBorder="1" applyAlignment="1">
      <alignment horizontal="center" vertical="center"/>
    </xf>
    <xf numFmtId="170" fontId="30" fillId="16" borderId="2" xfId="0" applyNumberFormat="1" applyFont="1" applyFill="1" applyBorder="1" applyAlignment="1">
      <alignment horizontal="center" vertical="center"/>
    </xf>
    <xf numFmtId="164" fontId="12" fillId="16" borderId="2" xfId="0" applyNumberFormat="1" applyFont="1" applyFill="1" applyBorder="1" applyAlignment="1">
      <alignment horizontal="center" vertical="center"/>
    </xf>
    <xf numFmtId="171" fontId="11" fillId="16" borderId="2" xfId="0" applyNumberFormat="1" applyFont="1" applyFill="1" applyBorder="1" applyAlignment="1">
      <alignment horizontal="center" vertical="center"/>
    </xf>
    <xf numFmtId="0" fontId="26" fillId="24" borderId="2" xfId="0" applyFont="1" applyFill="1" applyBorder="1" applyAlignment="1">
      <alignment horizontal="left" vertical="center" wrapText="1"/>
    </xf>
    <xf numFmtId="164" fontId="27" fillId="24" borderId="2" xfId="0" applyNumberFormat="1" applyFont="1" applyFill="1" applyBorder="1" applyAlignment="1">
      <alignment horizontal="center" vertical="center"/>
    </xf>
    <xf numFmtId="164" fontId="28" fillId="24" borderId="2" xfId="0" applyNumberFormat="1" applyFont="1" applyFill="1" applyBorder="1" applyAlignment="1">
      <alignment horizontal="center" vertical="center"/>
    </xf>
    <xf numFmtId="164" fontId="29" fillId="24" borderId="2" xfId="0" applyNumberFormat="1" applyFont="1" applyFill="1" applyBorder="1" applyAlignment="1">
      <alignment horizontal="center" vertical="center"/>
    </xf>
    <xf numFmtId="170" fontId="30" fillId="24" borderId="2" xfId="0" applyNumberFormat="1" applyFont="1" applyFill="1" applyBorder="1" applyAlignment="1">
      <alignment horizontal="center" vertical="center"/>
    </xf>
    <xf numFmtId="164" fontId="12" fillId="24" borderId="2" xfId="0" applyNumberFormat="1" applyFont="1" applyFill="1" applyBorder="1" applyAlignment="1">
      <alignment horizontal="center" vertical="center"/>
    </xf>
    <xf numFmtId="171" fontId="11" fillId="24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left" vertical="center" wrapText="1"/>
    </xf>
    <xf numFmtId="164" fontId="27" fillId="13" borderId="2" xfId="0" applyNumberFormat="1" applyFont="1" applyFill="1" applyBorder="1" applyAlignment="1">
      <alignment horizontal="center" vertical="center"/>
    </xf>
    <xf numFmtId="164" fontId="28" fillId="13" borderId="2" xfId="0" applyNumberFormat="1" applyFont="1" applyFill="1" applyBorder="1" applyAlignment="1">
      <alignment horizontal="center" vertical="center"/>
    </xf>
    <xf numFmtId="164" fontId="29" fillId="13" borderId="2" xfId="0" applyNumberFormat="1" applyFont="1" applyFill="1" applyBorder="1" applyAlignment="1">
      <alignment horizontal="center" vertical="center"/>
    </xf>
    <xf numFmtId="170" fontId="30" fillId="13" borderId="2" xfId="0" applyNumberFormat="1" applyFont="1" applyFill="1" applyBorder="1" applyAlignment="1">
      <alignment horizontal="center" vertical="center"/>
    </xf>
    <xf numFmtId="164" fontId="12" fillId="13" borderId="2" xfId="0" applyNumberFormat="1" applyFont="1" applyFill="1" applyBorder="1" applyAlignment="1">
      <alignment horizontal="center" vertical="center"/>
    </xf>
    <xf numFmtId="171" fontId="11" fillId="13" borderId="2" xfId="0" applyNumberFormat="1" applyFont="1" applyFill="1" applyBorder="1" applyAlignment="1">
      <alignment horizontal="center" vertical="center"/>
    </xf>
    <xf numFmtId="0" fontId="26" fillId="26" borderId="2" xfId="0" applyFont="1" applyFill="1" applyBorder="1" applyAlignment="1">
      <alignment horizontal="left" vertical="center" wrapText="1"/>
    </xf>
    <xf numFmtId="164" fontId="27" fillId="26" borderId="2" xfId="0" applyNumberFormat="1" applyFont="1" applyFill="1" applyBorder="1" applyAlignment="1">
      <alignment horizontal="center" vertical="center"/>
    </xf>
    <xf numFmtId="164" fontId="28" fillId="26" borderId="2" xfId="0" applyNumberFormat="1" applyFont="1" applyFill="1" applyBorder="1" applyAlignment="1">
      <alignment horizontal="center" vertical="center"/>
    </xf>
    <xf numFmtId="164" fontId="29" fillId="26" borderId="2" xfId="0" applyNumberFormat="1" applyFont="1" applyFill="1" applyBorder="1" applyAlignment="1">
      <alignment horizontal="center" vertical="center"/>
    </xf>
    <xf numFmtId="170" fontId="30" fillId="26" borderId="2" xfId="0" applyNumberFormat="1" applyFont="1" applyFill="1" applyBorder="1" applyAlignment="1">
      <alignment horizontal="center" vertical="center"/>
    </xf>
    <xf numFmtId="164" fontId="12" fillId="26" borderId="2" xfId="0" applyNumberFormat="1" applyFont="1" applyFill="1" applyBorder="1" applyAlignment="1">
      <alignment horizontal="center" vertical="center"/>
    </xf>
    <xf numFmtId="171" fontId="11" fillId="26" borderId="2" xfId="0" applyNumberFormat="1" applyFont="1" applyFill="1" applyBorder="1" applyAlignment="1">
      <alignment horizontal="center" vertical="center"/>
    </xf>
    <xf numFmtId="0" fontId="26" fillId="14" borderId="2" xfId="0" applyFont="1" applyFill="1" applyBorder="1" applyAlignment="1">
      <alignment horizontal="left" vertical="center" wrapText="1"/>
    </xf>
    <xf numFmtId="164" fontId="27" fillId="14" borderId="2" xfId="0" applyNumberFormat="1" applyFont="1" applyFill="1" applyBorder="1" applyAlignment="1">
      <alignment horizontal="center" vertical="center"/>
    </xf>
    <xf numFmtId="164" fontId="28" fillId="14" borderId="2" xfId="0" applyNumberFormat="1" applyFont="1" applyFill="1" applyBorder="1" applyAlignment="1">
      <alignment horizontal="center" vertical="center"/>
    </xf>
    <xf numFmtId="164" fontId="29" fillId="14" borderId="2" xfId="0" applyNumberFormat="1" applyFont="1" applyFill="1" applyBorder="1" applyAlignment="1">
      <alignment horizontal="center" vertical="center"/>
    </xf>
    <xf numFmtId="170" fontId="30" fillId="14" borderId="2" xfId="0" applyNumberFormat="1" applyFont="1" applyFill="1" applyBorder="1" applyAlignment="1">
      <alignment horizontal="center" vertical="center"/>
    </xf>
    <xf numFmtId="164" fontId="12" fillId="14" borderId="2" xfId="0" applyNumberFormat="1" applyFont="1" applyFill="1" applyBorder="1" applyAlignment="1">
      <alignment horizontal="center" vertical="center"/>
    </xf>
    <xf numFmtId="171" fontId="11" fillId="14" borderId="2" xfId="0" applyNumberFormat="1" applyFont="1" applyFill="1" applyBorder="1" applyAlignment="1">
      <alignment horizontal="center" vertical="center"/>
    </xf>
    <xf numFmtId="164" fontId="32" fillId="0" borderId="0" xfId="0" applyNumberFormat="1" applyFont="1"/>
    <xf numFmtId="0" fontId="15" fillId="22" borderId="0" xfId="0" applyFont="1" applyFill="1" applyAlignment="1">
      <alignment horizontal="left" vertical="center" wrapText="1"/>
    </xf>
    <xf numFmtId="0" fontId="15" fillId="23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 wrapText="1"/>
    </xf>
    <xf numFmtId="0" fontId="12" fillId="7" borderId="2" xfId="0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left" vertical="center" wrapText="1"/>
    </xf>
    <xf numFmtId="0" fontId="15" fillId="13" borderId="2" xfId="0" applyFont="1" applyFill="1" applyBorder="1" applyAlignment="1">
      <alignment horizontal="left" vertical="center" wrapText="1"/>
    </xf>
    <xf numFmtId="0" fontId="15" fillId="18" borderId="2" xfId="0" applyFont="1" applyFill="1" applyBorder="1" applyAlignment="1">
      <alignment horizontal="left" vertical="center" wrapText="1"/>
    </xf>
    <xf numFmtId="0" fontId="15" fillId="24" borderId="2" xfId="0" applyFont="1" applyFill="1" applyBorder="1" applyAlignment="1">
      <alignment horizontal="left" vertical="center" wrapText="1"/>
    </xf>
    <xf numFmtId="0" fontId="15" fillId="25" borderId="2" xfId="0" applyFont="1" applyFill="1" applyBorder="1" applyAlignment="1">
      <alignment horizontal="left" vertical="center" wrapText="1"/>
    </xf>
    <xf numFmtId="0" fontId="15" fillId="16" borderId="2" xfId="0" applyFont="1" applyFill="1" applyBorder="1" applyAlignment="1">
      <alignment horizontal="left" vertical="center" wrapText="1"/>
    </xf>
    <xf numFmtId="0" fontId="15" fillId="14" borderId="2" xfId="0" applyFont="1" applyFill="1" applyBorder="1" applyAlignment="1">
      <alignment horizontal="left" vertical="center" wrapText="1"/>
    </xf>
    <xf numFmtId="0" fontId="7" fillId="23" borderId="1" xfId="0" applyFont="1" applyFill="1" applyBorder="1" applyAlignment="1">
      <alignment horizontal="center" vertical="center" wrapText="1"/>
    </xf>
    <xf numFmtId="169" fontId="24" fillId="16" borderId="2" xfId="0" applyNumberFormat="1" applyFont="1" applyFill="1" applyBorder="1" applyAlignment="1">
      <alignment horizontal="center" vertical="center"/>
    </xf>
    <xf numFmtId="169" fontId="24" fillId="24" borderId="2" xfId="0" applyNumberFormat="1" applyFont="1" applyFill="1" applyBorder="1" applyAlignment="1">
      <alignment horizontal="center" vertical="center"/>
    </xf>
    <xf numFmtId="169" fontId="24" fillId="13" borderId="2" xfId="0" applyNumberFormat="1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left" vertical="center"/>
    </xf>
    <xf numFmtId="0" fontId="31" fillId="27" borderId="1" xfId="0" applyFont="1" applyFill="1" applyBorder="1" applyAlignment="1">
      <alignment horizontal="left" vertical="center"/>
    </xf>
    <xf numFmtId="0" fontId="33" fillId="3" borderId="1" xfId="0" applyFont="1" applyFill="1" applyBorder="1" applyAlignment="1">
      <alignment horizontal="left" vertical="center"/>
    </xf>
    <xf numFmtId="172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3">
    <dxf>
      <numFmt numFmtId="4" formatCode="#,##0.00"/>
    </dxf>
    <dxf>
      <numFmt numFmtId="4" formatCode="#,##0.00"/>
    </dxf>
    <dxf>
      <numFmt numFmtId="172" formatCode="_([$$-409]* #,##0.00_);_([$$-409]* \(#,##0.00\);_([$$-409]* &quot;-&quot;??_);_(@_)"/>
    </dxf>
  </dxfs>
  <tableStyles count="0" defaultTableStyle="TableStyleMedium2" defaultPivotStyle="PivotStyleLight16"/>
  <colors>
    <indexedColors>
      <rgbColor rgb="FF000000"/>
      <rgbColor rgb="FFFFFFFF"/>
      <rgbColor rgb="FFEF5350"/>
      <rgbColor rgb="FF00FF00"/>
      <rgbColor rgb="FF303F9F"/>
      <rgbColor rgb="FFFFFF00"/>
      <rgbColor rgb="FFE040FB"/>
      <rgbColor rgb="FF00FFFF"/>
      <rgbColor rgb="FF6A1515"/>
      <rgbColor rgb="FF2E7D32"/>
      <rgbColor rgb="FF1A1A2E"/>
      <rgbColor rgb="FF558B2F"/>
      <rgbColor rgb="FF303050"/>
      <rgbColor rgb="FF1B5E20"/>
      <rgbColor rgb="FFBDBDBD"/>
      <rgbColor rgb="FF777777"/>
      <rgbColor rgb="FF4F81BD"/>
      <rgbColor rgb="FF555555"/>
      <rgbColor rgb="FFEEEEEE"/>
      <rgbColor rgb="FFCCFFFF"/>
      <rgbColor rgb="FF4A148C"/>
      <rgbColor rgb="FFFF8A80"/>
      <rgbColor rgb="FF1565C0"/>
      <rgbColor rgb="FFD9D9D9"/>
      <rgbColor rgb="FF111111"/>
      <rgbColor rgb="FFFF00FF"/>
      <rgbColor rgb="FFFFFF00"/>
      <rgbColor rgb="FF00FFFF"/>
      <rgbColor rgb="FF37474F"/>
      <rgbColor rgb="FF800000"/>
      <rgbColor rgb="FF0D47A1"/>
      <rgbColor rgb="FF3949AB"/>
      <rgbColor rgb="FF00CCFF"/>
      <rgbColor rgb="FFCCFFFF"/>
      <rgbColor rgb="FFCCFFCC"/>
      <rgbColor rgb="FFFFFF99"/>
      <rgbColor rgb="FF80CBC4"/>
      <rgbColor rgb="FFFF8A65"/>
      <rgbColor rgb="FFB3B3B3"/>
      <rgbColor rgb="FFFFD54F"/>
      <rgbColor rgb="FF3F51B5"/>
      <rgbColor rgb="FF64B5F6"/>
      <rgbColor rgb="FF66BB6A"/>
      <rgbColor rgb="FFFF7043"/>
      <rgbColor rgb="FFFFA726"/>
      <rgbColor rgb="FFF57F17"/>
      <rgbColor rgb="FF757575"/>
      <rgbColor rgb="FF9E9E9E"/>
      <rgbColor rgb="FF1A237E"/>
      <rgbColor rgb="FF26A69A"/>
      <rgbColor rgb="FF1E1E2E"/>
      <rgbColor rgb="FF212121"/>
      <rgbColor rgb="FFB71C1C"/>
      <rgbColor rgb="FF444466"/>
      <rgbColor rgb="FF283593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0" Type="http://schemas.microsoft.com/office/2017/06/relationships/richStyles" Target="richData/richStyl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Monte Carlo — Fair Value COST (EPS base: $19.05)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Frecuencia</c:v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419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'Monte Carlo'!$A$25:$A$45</c:f>
              <c:strCache>
                <c:ptCount val="21"/>
                <c:pt idx="0">
                  <c:v>$209</c:v>
                </c:pt>
                <c:pt idx="1">
                  <c:v>$267</c:v>
                </c:pt>
                <c:pt idx="2">
                  <c:v>$325</c:v>
                </c:pt>
                <c:pt idx="3">
                  <c:v>$382</c:v>
                </c:pt>
                <c:pt idx="4">
                  <c:v>$440</c:v>
                </c:pt>
                <c:pt idx="5">
                  <c:v>$498</c:v>
                </c:pt>
                <c:pt idx="6">
                  <c:v>$556</c:v>
                </c:pt>
                <c:pt idx="7">
                  <c:v>$614</c:v>
                </c:pt>
                <c:pt idx="8">
                  <c:v>$671</c:v>
                </c:pt>
                <c:pt idx="9">
                  <c:v>$729</c:v>
                </c:pt>
                <c:pt idx="10">
                  <c:v>$787</c:v>
                </c:pt>
                <c:pt idx="11">
                  <c:v>$845</c:v>
                </c:pt>
                <c:pt idx="12">
                  <c:v>$903</c:v>
                </c:pt>
                <c:pt idx="13">
                  <c:v>$960</c:v>
                </c:pt>
                <c:pt idx="14">
                  <c:v>$1018</c:v>
                </c:pt>
                <c:pt idx="15">
                  <c:v>$1076</c:v>
                </c:pt>
                <c:pt idx="16">
                  <c:v>$1134</c:v>
                </c:pt>
                <c:pt idx="17">
                  <c:v>$1192</c:v>
                </c:pt>
                <c:pt idx="18">
                  <c:v>$1249</c:v>
                </c:pt>
                <c:pt idx="19">
                  <c:v>$1307</c:v>
                </c:pt>
                <c:pt idx="20">
                  <c:v>$1365</c:v>
                </c:pt>
              </c:strCache>
            </c:strRef>
          </c:cat>
          <c:val>
            <c:numRef>
              <c:f>'Monte Carlo'!$B$25:$B$45</c:f>
              <c:numCache>
                <c:formatCode>#,##0</c:formatCode>
                <c:ptCount val="21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32</c:v>
                </c:pt>
                <c:pt idx="4">
                  <c:v>66</c:v>
                </c:pt>
                <c:pt idx="5">
                  <c:v>102</c:v>
                </c:pt>
                <c:pt idx="6">
                  <c:v>156</c:v>
                </c:pt>
                <c:pt idx="7">
                  <c:v>233</c:v>
                </c:pt>
                <c:pt idx="8">
                  <c:v>241</c:v>
                </c:pt>
                <c:pt idx="9">
                  <c:v>283</c:v>
                </c:pt>
                <c:pt idx="10">
                  <c:v>261</c:v>
                </c:pt>
                <c:pt idx="11">
                  <c:v>211</c:v>
                </c:pt>
                <c:pt idx="12">
                  <c:v>161</c:v>
                </c:pt>
                <c:pt idx="13">
                  <c:v>95</c:v>
                </c:pt>
                <c:pt idx="14">
                  <c:v>74</c:v>
                </c:pt>
                <c:pt idx="15">
                  <c:v>36</c:v>
                </c:pt>
                <c:pt idx="16">
                  <c:v>16</c:v>
                </c:pt>
                <c:pt idx="17">
                  <c:v>7</c:v>
                </c:pt>
                <c:pt idx="18">
                  <c:v>3</c:v>
                </c:pt>
                <c:pt idx="19">
                  <c:v>0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34-4C9B-A377-C9B71AC2A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643978"/>
        <c:axId val="85862296"/>
      </c:barChart>
      <c:catAx>
        <c:axId val="966439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Fair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85862296"/>
        <c:crosses val="autoZero"/>
        <c:auto val="1"/>
        <c:lblAlgn val="ctr"/>
        <c:lblOffset val="100"/>
        <c:noMultiLvlLbl val="0"/>
      </c:catAx>
      <c:valAx>
        <c:axId val="858622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Frecuencia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966439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419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Tornado — </a:t>
            </a:r>
            <a:r>
              <a:rPr lang="el-GR" sz="1800" b="1" strike="noStrike" spc="-1">
                <a:solidFill>
                  <a:srgbClr val="000000"/>
                </a:solidFill>
                <a:latin typeface="Calibri"/>
              </a:rPr>
              <a:t>Δ </a:t>
            </a: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Fair Value vs Precio Real (dinámico)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'Tornado — Cisnes Negros'!$B$12</c:f>
              <c:strCache>
                <c:ptCount val="1"/>
              </c:strCache>
            </c:strRef>
          </c:tx>
          <c:spPr>
            <a:solidFill>
              <a:srgbClr val="EF535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419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'Tornado — Cisnes Negros'!$A$13:$A$19</c:f>
              <c:strCache>
                <c:ptCount val="7"/>
                <c:pt idx="0">
                  <c:v>P/E Compresión a 15x (Reclasif. Retail</c:v>
                </c:pt>
                <c:pt idx="1">
                  <c:v>Shock de Tasa +5% — Pánico Fed</c:v>
                </c:pt>
                <c:pt idx="2">
                  <c:v>Crisis Kirkland Signature (−40% EPS)</c:v>
                </c:pt>
                <c:pt idx="3">
                  <c:v>Disrupción Membresías (−80% Op. Income</c:v>
                </c:pt>
                <c:pt idx="4">
                  <c:v>Bloqueo del Pacífico (−25% Revenue)</c:v>
                </c:pt>
                <c:pt idx="5">
                  <c:v>Entrada Amazon/Alibaba (−15% Mkt Share</c:v>
                </c:pt>
                <c:pt idx="6">
                  <c:v>Compresión P/E moderada (35x, +1% Tasa</c:v>
                </c:pt>
              </c:strCache>
            </c:strRef>
          </c:cat>
          <c:val>
            <c:numRef>
              <c:f>'Tornado — Cisnes Negros'!$B$13:$B$19</c:f>
              <c:numCache>
                <c:formatCode>\$#,##0.00</c:formatCode>
                <c:ptCount val="7"/>
                <c:pt idx="0">
                  <c:v>-713.7122833093805</c:v>
                </c:pt>
                <c:pt idx="1">
                  <c:v>-2.9984100000000353</c:v>
                </c:pt>
                <c:pt idx="2">
                  <c:v>-399.78800000000001</c:v>
                </c:pt>
                <c:pt idx="3">
                  <c:v>-866.11639887771094</c:v>
                </c:pt>
                <c:pt idx="4">
                  <c:v>-427.95456661876096</c:v>
                </c:pt>
                <c:pt idx="5">
                  <c:v>-319.36663427632561</c:v>
                </c:pt>
                <c:pt idx="6">
                  <c:v>-333.10205519192129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9-4AD8-87BA-B245F37F6D94}"/>
            </c:ext>
          </c:extLst>
        </c:ser>
        <c:ser>
          <c:idx val="1"/>
          <c:order val="1"/>
          <c:tx>
            <c:strRef>
              <c:f>'Tornado — Cisnes Negros'!$C$12</c:f>
              <c:strCache>
                <c:ptCount val="1"/>
              </c:strCache>
            </c:strRef>
          </c:tx>
          <c:spPr>
            <a:solidFill>
              <a:srgbClr val="66BB6A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419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'Tornado — Cisnes Negros'!$A$13:$A$19</c:f>
              <c:strCache>
                <c:ptCount val="7"/>
                <c:pt idx="0">
                  <c:v>P/E Compresión a 15x (Reclasif. Retail</c:v>
                </c:pt>
                <c:pt idx="1">
                  <c:v>Shock de Tasa +5% — Pánico Fed</c:v>
                </c:pt>
                <c:pt idx="2">
                  <c:v>Crisis Kirkland Signature (−40% EPS)</c:v>
                </c:pt>
                <c:pt idx="3">
                  <c:v>Disrupción Membresías (−80% Op. Income</c:v>
                </c:pt>
                <c:pt idx="4">
                  <c:v>Bloqueo del Pacífico (−25% Revenue)</c:v>
                </c:pt>
                <c:pt idx="5">
                  <c:v>Entrada Amazon/Alibaba (−15% Mkt Share</c:v>
                </c:pt>
                <c:pt idx="6">
                  <c:v>Compresión P/E moderada (35x, +1% Tasa</c:v>
                </c:pt>
              </c:strCache>
            </c:strRef>
          </c:cat>
          <c:val>
            <c:numRef>
              <c:f>'Tornado — Cisnes Negros'!$C$13:$C$19</c:f>
              <c:numCache>
                <c:formatCode>\$#,##0.00</c:formatCode>
                <c:ptCount val="7"/>
                <c:pt idx="0">
                  <c:v>143.5608667624781</c:v>
                </c:pt>
                <c:pt idx="1">
                  <c:v>0.2998410000000149</c:v>
                </c:pt>
                <c:pt idx="2">
                  <c:v>99.947000000000116</c:v>
                </c:pt>
                <c:pt idx="3">
                  <c:v>49.973500000000058</c:v>
                </c:pt>
                <c:pt idx="4">
                  <c:v>79.957600000000184</c:v>
                </c:pt>
                <c:pt idx="5">
                  <c:v>29.984100000000126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9-4AD8-87BA-B245F37F6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641036"/>
        <c:axId val="16461264"/>
      </c:barChart>
      <c:catAx>
        <c:axId val="8864103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l-GR" sz="1000" b="1" strike="noStrike" spc="-1">
                    <a:solidFill>
                      <a:srgbClr val="000000"/>
                    </a:solidFill>
                    <a:latin typeface="Calibri"/>
                  </a:rPr>
                  <a:t>Δ </a:t>
                </a: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Fair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16461264"/>
        <c:crosses val="autoZero"/>
        <c:auto val="1"/>
        <c:lblAlgn val="ctr"/>
        <c:lblOffset val="100"/>
        <c:noMultiLvlLbl val="0"/>
      </c:catAx>
      <c:valAx>
        <c:axId val="16461264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Factor de Riesgo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886410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419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361950</xdr:colOff>
      <xdr:row>11</xdr:row>
      <xdr:rowOff>180975</xdr:rowOff>
    </xdr:from>
    <xdr:to>
      <xdr:col>25</xdr:col>
      <xdr:colOff>424920</xdr:colOff>
      <xdr:row>29</xdr:row>
      <xdr:rowOff>29310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333375</xdr:colOff>
      <xdr:row>13</xdr:row>
      <xdr:rowOff>57150</xdr:rowOff>
    </xdr:from>
    <xdr:to>
      <xdr:col>15</xdr:col>
      <xdr:colOff>30435</xdr:colOff>
      <xdr:row>46</xdr:row>
      <xdr:rowOff>59400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3">
  <rv s="0">
    <v>https://www.bing.com/financeapi/forcetrigger?t=a1q6k2&amp;q=XNAS%3aCOST&amp;form=skydnc</v>
    <v>Learn more on Bing</v>
  </rv>
  <rv s="1">
    <v>es-ES</v>
    <v>a1q6k2</v>
    <v>268435456</v>
    <v>1</v>
    <v>Con tecnología de Refinitiv</v>
    <v>0</v>
    <v>1</v>
    <v>COSTCO WHOLESALE CORPORATION (XNAS:COST)</v>
    <v>3</v>
    <v>4</v>
    <v>Finance</v>
    <v>5</v>
    <v>XNAS</v>
    <v>443652500</v>
    <v>1987</v>
    <v>1005.82</v>
    <v>0.90939999999999999</v>
    <v>-9.32</v>
    <v>-2.0010000000000002E-3</v>
    <v>-9.2390000000000007E-3</v>
    <v>-2</v>
    <v>443417364175</v>
    <v>1008.79</v>
    <v>Costco Wholesale Corporation (Costco) opera almacenes de membresía y sitios de comercio electrónico que ofrecen una selección de productos de marca nacional y de marca privada en una amplia gama de categorías. La Compañía compra la mayoría de sus mercancías directamente a los proveedores y la dirige a puntos de consolidación de cross-docking (depósitos) o directamente a sus almacenes. Opera 891 almacenes, incluyendo 614 en los Estados Unidos y Puerto Rico, 108 en Canadá, 40 en México, 35 en Japón, 29 en el Reino Unido, 19 en Corea, 15 en Australia, 14 en Taiwán, siete en China, y más. cinco en España, dos en Francia, y uno en Islandia, Nueva Zelanda y Suecia. También opera sitios de comercio electrónico en los Estados Unidos, Canadá, el Reino Unido, México, Corea, Taiwán, Japón y Australia. La Compañía ofrece una amplia selección de mercancías, además de la conveniencia de departamentos especializados y servicios exclusivos para miembros.</v>
    <v>341000</v>
    <v>XNAS</v>
    <v>46153.999790890623</v>
    <v>Nasdaq Stock Market</v>
    <v>0</v>
    <v>1007</v>
    <v>1067.08</v>
    <v>985.15</v>
    <v>844.06</v>
    <v>USD</v>
    <v>COSTCO WHOLESALE CORPORATION</v>
    <v>COSTCO WHOLESALE CORPORATION</v>
    <v>52.464199999999998</v>
    <v>999.47</v>
    <v>997.47</v>
    <v>Diversified Retail</v>
    <v>999 Lake Dr, ISSAQUAH, WA, 98027- US</v>
    <v>COST</v>
    <v>Acciones</v>
    <v>COSTCO WHOLESALE CORPORATION (XNAS:COST)</v>
    <v>2053529</v>
    <v>1785965</v>
  </rv>
  <rv s="2">
    <v>1</v>
  </rv>
</rvData>
</file>

<file path=xl/richData/rdrichvaluestructure.xml><?xml version="1.0" encoding="utf-8"?>
<rvStructures xmlns="http://schemas.microsoft.com/office/spreadsheetml/2017/richdata" count="3">
  <s t="_hyperlink">
    <k n="Address" t="s"/>
    <k n="Text" t="s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Abreviatura de intercambio" t="s"/>
    <k n="Acciones en circulación"/>
    <k n="Año de constitución"/>
    <k n="Apertura"/>
    <k n="Beta"/>
    <k n="Cambio"/>
    <k n="Cambio % (horario ampliado)"/>
    <k n="Cambio (%)"/>
    <k n="Cambio (horario ampliado)"/>
    <k n="Capitalización de mercado"/>
    <k n="Cierre anterior"/>
    <k n="Descripción" t="s"/>
    <k n="Empleados"/>
    <k n="ExchangeID" t="s"/>
    <k n="Hora de la última operación"/>
    <k n="Intercambio" t="s"/>
    <k n="LearnMoreOnLink" t="r"/>
    <k n="Máximo"/>
    <k n="Máximo en 52 semanas"/>
    <k n="Mínimo"/>
    <k n="Mínimo en 52 semanas"/>
    <k n="Moneda" t="s"/>
    <k n="Nombre" t="s"/>
    <k n="Nombre oficial" t="s"/>
    <k n="P/I"/>
    <k n="Precio"/>
    <k n="Precio (horario ampliado)"/>
    <k n="Sector" t="s"/>
    <k n="Sede central" t="s"/>
    <k n="Símbolo bursátil" t="s"/>
    <k n="Tipo de instrumento" t="s"/>
    <k n="UniqueName" t="s"/>
    <k n="Volumen"/>
    <k n="Volumen promedio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46">
      <v t="s">%EntityServiceId</v>
      <v t="s">_Format</v>
      <v t="s">%IsRefreshable</v>
      <v t="s">_CanonicalPropertyNames</v>
      <v t="s">%EntityCulture</v>
      <v t="s">%EntityId</v>
      <v t="s">_Icon</v>
      <v t="s">_Display</v>
      <v t="s">Nombre</v>
      <v t="s">_SubLabel</v>
      <v t="s">Precio</v>
      <v t="s">Precio (horario ampliado)</v>
      <v t="s">Intercambio</v>
      <v t="s">Nombre oficial</v>
      <v t="s">Hora de la última operación</v>
      <v t="s">Símbolo bursátil</v>
      <v t="s">Abreviatura de intercambio</v>
      <v t="s">Cambio</v>
      <v t="s">Cambio (horario ampliado)</v>
      <v t="s">Cambio (%)</v>
      <v t="s">Cambio % (horario ampliado)</v>
      <v t="s">Moneda</v>
      <v t="s">Cierre anterior</v>
      <v t="s">Apertura</v>
      <v t="s">Máximo</v>
      <v t="s">Mínimo</v>
      <v t="s">Máximo en 52 semanas</v>
      <v t="s">Mínimo en 52 semanas</v>
      <v t="s">Volumen</v>
      <v t="s">Volumen promedio</v>
      <v t="s">Capitalización de mercado</v>
      <v t="s">Beta</v>
      <v t="s">P/I</v>
      <v t="s">Acciones en circulación</v>
      <v t="s">Descripción</v>
      <v t="s">Empleados</v>
      <v t="s">Sede central</v>
      <v t="s">Sector</v>
      <v t="s">Tipo de instrumento</v>
      <v t="s">Año de constitución</v>
      <v t="s">_Flags</v>
      <v t="s">UniqueName</v>
      <v t="s">_DisplayString</v>
      <v t="s">LearnMoreOnLink</v>
      <v t="s">ExchangeID</v>
      <v t="s">%ProviderInfo</v>
    </a>
  </spbArrays>
  <spbData count="6">
    <spb s="0">
      <v>P/E</v>
      <v>Beta</v>
      <v>Change</v>
      <v>Currency</v>
      <v>High</v>
      <v>Low</v>
      <v>Name</v>
      <v>Price</v>
      <v>Industry</v>
      <v>Volume</v>
      <v>Open</v>
      <v>Employees</v>
      <v>Change (%)</v>
      <v>ExchangeID</v>
      <v>UniqueName</v>
      <v>Description</v>
      <v>Exchange</v>
      <v>Headquarters</v>
      <v>%ProviderInfo</v>
      <v>Official name</v>
      <v>Previous close</v>
      <v>LearnMoreOnLink</v>
      <v>Ticker symbol</v>
      <v>Volume average</v>
      <v>Year incorporated</v>
      <v>Instrument type</v>
      <v>52 week high</v>
      <v>52 week low</v>
      <v>Shares outstanding</v>
      <v>Change (Extended hours)</v>
      <v>Market cap</v>
      <v>Price (Extended hours)</v>
      <v>Exchange abbreviation</v>
      <v>Change % (Extended hours)</v>
      <v>Last trade time</v>
    </spb>
    <spb s="1">
      <v>0</v>
      <v>Name</v>
      <v>LearnMoreOnLink</v>
    </spb>
    <spb s="2">
      <v>0</v>
      <v>0</v>
      <v>0</v>
    </spb>
    <spb s="3">
      <v>2</v>
      <v>2</v>
      <v>2</v>
      <v>2</v>
    </spb>
    <spb s="4">
      <v>1</v>
      <v>1</v>
      <v>2</v>
      <v>2</v>
      <v>2</v>
      <v>3</v>
      <v>2</v>
      <v>4</v>
      <v>2</v>
      <v>4</v>
      <v>5</v>
      <v>2</v>
      <v>4</v>
      <v>6</v>
      <v>7</v>
      <v>2</v>
      <v>2</v>
      <v>4</v>
      <v>2</v>
      <v>8</v>
      <v>2</v>
      <v>5</v>
      <v>9</v>
    </spb>
    <spb s="5">
      <v xml:space="preserve">desde el cierre anterior </v>
      <v xml:space="preserve">al cierre </v>
      <v xml:space="preserve">desde el cierre anterior </v>
      <v>Origen: Nasdaq</v>
      <v xml:space="preserve">desde el cierre </v>
      <v>Retrasado 15 minutos</v>
      <v xml:space="preserve">desde el cierre </v>
      <v>GMT</v>
    </spb>
  </spbData>
</supportingPropertyBags>
</file>

<file path=xl/richData/rdsupportingpropertybagstructure.xml><?xml version="1.0" encoding="utf-8"?>
<spbStructures xmlns="http://schemas.microsoft.com/office/spreadsheetml/2017/richdata2" count="6">
  <s>
    <k n="P/I" t="s"/>
    <k n="Beta" t="s"/>
    <k n="Cambio" t="s"/>
    <k n="Moneda" t="s"/>
    <k n="Máximo" t="s"/>
    <k n="Mínimo" t="s"/>
    <k n="Nombre" t="s"/>
    <k n="Precio" t="s"/>
    <k n="Sector" t="s"/>
    <k n="Volumen" t="s"/>
    <k n="Apertura" t="s"/>
    <k n="Empleados" t="s"/>
    <k n="Cambio (%)" t="s"/>
    <k n="ExchangeID" t="s"/>
    <k n="UniqueName" t="s"/>
    <k n="Descripción" t="s"/>
    <k n="Intercambio" t="s"/>
    <k n="Sede central" t="s"/>
    <k n="%ProviderInfo" t="s"/>
    <k n="Nombre oficial" t="s"/>
    <k n="Cierre anterior" t="s"/>
    <k n="LearnMoreOnLink" t="s"/>
    <k n="Símbolo bursátil" t="s"/>
    <k n="Volumen promedio" t="s"/>
    <k n="Año de constitución" t="s"/>
    <k n="Tipo de instrumento" t="s"/>
    <k n="Máximo en 52 semanas" t="s"/>
    <k n="Mínimo en 52 semanas" t="s"/>
    <k n="Acciones en circulación" t="s"/>
    <k n="Cambio (horario ampliado)" t="s"/>
    <k n="Capitalización de mercado" t="s"/>
    <k n="Precio (horario ampliado)" t="s"/>
    <k n="Abreviatura de intercambio" t="s"/>
    <k n="Cambio % (horario ampliado)" t="s"/>
    <k n="Hora de la última operación" t="s"/>
  </s>
  <s>
    <k n="^Order" t="spba"/>
    <k n="TitleProperty" t="s"/>
    <k n="SubTitleProperty" t="s"/>
  </s>
  <s>
    <k n="ShowInCardView" t="b"/>
    <k n="ShowInDotNotation" t="b"/>
    <k n="ShowInAutoComplete" t="b"/>
  </s>
  <s>
    <k n="ExchangeID" t="spb"/>
    <k n="UniqueName" t="spb"/>
    <k n="`%ProviderInfo" t="spb"/>
    <k n="LearnMoreOnLink" t="spb"/>
  </s>
  <s>
    <k n="P/I" t="i"/>
    <k n="Beta" t="i"/>
    <k n="Cambio" t="i"/>
    <k n="Máximo" t="i"/>
    <k n="Mínimo" t="i"/>
    <k n="Nombre" t="i"/>
    <k n="Precio" t="i"/>
    <k n="Volumen" t="i"/>
    <k n="Apertura" t="i"/>
    <k n="Empleados" t="i"/>
    <k n="Cambio (%)" t="i"/>
    <k n="Cierre anterior" t="i"/>
    <k n="Volumen promedio" t="i"/>
    <k n="`%EntityServiceId" t="i"/>
    <k n="Año de constitución" t="i"/>
    <k n="Máximo en 52 semanas" t="i"/>
    <k n="Mínimo en 52 semanas" t="i"/>
    <k n="Acciones en circulación" t="i"/>
    <k n="Cambio (horario ampliado)" t="i"/>
    <k n="Capitalización de mercado" t="i"/>
    <k n="Precio (horario ampliado)" t="i"/>
    <k n="Cambio % (horario ampliado)" t="i"/>
    <k n="Hora de la última operación" t="i"/>
  </s>
  <s>
    <k n="Cambio" t="s"/>
    <k n="Precio" t="s"/>
    <k n="Cambio (%)" t="s"/>
    <k n="ExchangeID" t="s"/>
    <k n="Cambio (horario ampliado)" t="s"/>
    <k n="Precio (horario ampliado)" t="s"/>
    <k n="Cambio % (horario ampliado)" t="s"/>
    <k n="Hora de la última operación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7">
    <x:dxf>
      <x:numFmt numFmtId="2" formatCode="0.00"/>
    </x:dxf>
    <x:dxf>
      <x:numFmt numFmtId="0" formatCode="General"/>
    </x:dxf>
    <x:dxf>
      <x:numFmt numFmtId="27" formatCode="d/m/yyyy\ hh:mm"/>
    </x:dxf>
    <x:dxf>
      <x:numFmt numFmtId="14" formatCode="0.00%"/>
    </x:dxf>
    <x:dxf>
      <x:numFmt numFmtId="3" formatCode="#,##0"/>
    </x:dxf>
    <x:dxf>
      <x:numFmt numFmtId="4" formatCode="#,##0.00"/>
    </x:dxf>
    <x:dxf>
      <x:numFmt numFmtId="1" formatCode="0"/>
    </x:dxf>
  </dxfs>
  <richProperties>
    <rPr n="NumberFormat" t="s"/>
    <rPr n="IsTitleField" t="b"/>
  </richProperties>
  <richStyles>
    <rSty dxfid="5">
      <rpv i="0">#,##0.00</rpv>
    </rSty>
    <rSty dxfid="1">
      <rpv i="0">_([$$-en-US]* #,##0.00_);_([$$-en-US]* (#,##0.00);_([$$-en-US]* "-"??_);_(@_)</rpv>
    </rSty>
    <rSty>
      <rpv i="1">1</rpv>
    </rSty>
    <rSty dxfid="4">
      <rpv i="0">#,##0</rpv>
    </rSty>
    <rSty dxfid="3"/>
    <rSty dxfid="0">
      <rpv i="0">0.00</rpv>
    </rSty>
    <rSty dxfid="6">
      <rpv i="0">0</rpv>
    </rSty>
    <rSty dxfid="1">
      <rpv i="0">_([$$-en-US]* #,##0_);_([$$-en-US]* (#,##0);_([$$-en-US]* "-"_);_(@_)</rpv>
    </rSty>
    <rSty dxfid="2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D2E2B-324B-46E7-B2A0-B757F8739393}" name="Tabla1" displayName="Tabla1" ref="J1:M2" totalsRowShown="0">
  <autoFilter ref="J1:M2" xr:uid="{C49D2E2B-324B-46E7-B2A0-B757F8739393}"/>
  <tableColumns count="4">
    <tableColumn id="1" xr3:uid="{8F34A657-98EE-421D-8464-6D1BEC47B25B}" name="Ticker"/>
    <tableColumn id="2" xr3:uid="{E27D6F73-1936-49CF-8AD0-52CD4A172692}" name="Precio" dataDxfId="2">
      <calculatedColumnFormula array="1">_FV(J2,"Precio")</calculatedColumnFormula>
    </tableColumn>
    <tableColumn id="3" xr3:uid="{39BB10F9-A28F-4E20-AC64-E1D71534052E}" name="Ratio P/E" dataDxfId="1">
      <calculatedColumnFormula array="1">_FV(J2,"P/I",TRUE)</calculatedColumnFormula>
    </tableColumn>
    <tableColumn id="4" xr3:uid="{3EC17C62-256C-415E-A5F4-C5099C1B411A}" name="Beta" dataDxfId="0">
      <calculatedColumnFormula array="1">_FV(J2,"Beta")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040FB"/>
    <pageSetUpPr fitToPage="1"/>
  </sheetPr>
  <dimension ref="A1:M54"/>
  <sheetViews>
    <sheetView showGridLines="0" tabSelected="1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J49" sqref="J49"/>
    </sheetView>
  </sheetViews>
  <sheetFormatPr baseColWidth="10" defaultColWidth="8.7109375" defaultRowHeight="15" x14ac:dyDescent="0.25"/>
  <cols>
    <col min="1" max="1" width="30" customWidth="1"/>
    <col min="2" max="6" width="16" customWidth="1"/>
    <col min="7" max="7" width="30" customWidth="1"/>
    <col min="10" max="10" width="47.7109375" bestFit="1" customWidth="1"/>
    <col min="12" max="12" width="11.140625" customWidth="1"/>
  </cols>
  <sheetData>
    <row r="1" spans="1:13" ht="33" customHeight="1" x14ac:dyDescent="0.25">
      <c r="A1" s="14" t="s">
        <v>0</v>
      </c>
      <c r="B1" s="14"/>
      <c r="C1" s="14"/>
      <c r="D1" s="14"/>
      <c r="E1" s="14"/>
      <c r="F1" s="14"/>
      <c r="G1" s="14"/>
      <c r="J1" t="s">
        <v>141</v>
      </c>
      <c r="K1" t="s">
        <v>142</v>
      </c>
      <c r="L1" t="s">
        <v>143</v>
      </c>
      <c r="M1" t="s">
        <v>144</v>
      </c>
    </row>
    <row r="2" spans="1:13" ht="21.75" customHeight="1" x14ac:dyDescent="0.25">
      <c r="A2" s="13" t="s">
        <v>1</v>
      </c>
      <c r="B2" s="13"/>
      <c r="C2" s="13"/>
      <c r="D2" s="13"/>
      <c r="E2" s="13"/>
      <c r="F2" s="13"/>
      <c r="G2" s="13"/>
      <c r="J2" t="e" vm="1">
        <v>#VALUE!</v>
      </c>
      <c r="K2" s="154" cm="1">
        <f t="array" aca="1" ref="K2" ca="1">_FV(J2,"Precio")</f>
        <v>999.47</v>
      </c>
      <c r="L2" s="155" cm="1">
        <f t="array" aca="1" ref="L2" ca="1">_FV(J2,"P/I",TRUE)</f>
        <v>52.464199999999998</v>
      </c>
      <c r="M2" s="155" cm="1">
        <f t="array" aca="1" ref="M2" ca="1">_FV(J2,"Beta")</f>
        <v>0.90939999999999999</v>
      </c>
    </row>
    <row r="3" spans="1:13" ht="21.75" customHeight="1" x14ac:dyDescent="0.25">
      <c r="A3" s="12" t="s">
        <v>2</v>
      </c>
      <c r="B3" s="12"/>
      <c r="C3" s="11" t="s">
        <v>3</v>
      </c>
      <c r="D3" s="11"/>
      <c r="E3" s="10" t="s">
        <v>4</v>
      </c>
      <c r="F3" s="10"/>
      <c r="G3" s="10"/>
    </row>
    <row r="4" spans="1:13" ht="27.75" customHeight="1" x14ac:dyDescent="0.25">
      <c r="A4" s="15" t="s">
        <v>5</v>
      </c>
      <c r="B4" s="16" cm="1">
        <f t="array" aca="1" ref="B4" ca="1">Tabla1[Precio]</f>
        <v>999.47</v>
      </c>
      <c r="C4" s="15" t="s">
        <v>6</v>
      </c>
      <c r="D4" s="17" cm="1">
        <f t="array" aca="1" ref="D4" ca="1">Tabla1[Ratio P/E]</f>
        <v>52.464199999999998</v>
      </c>
      <c r="E4" s="18" t="s">
        <v>7</v>
      </c>
      <c r="F4" s="9" t="s">
        <v>8</v>
      </c>
      <c r="G4" s="9"/>
    </row>
    <row r="5" spans="1:13" ht="21.75" customHeight="1" x14ac:dyDescent="0.25">
      <c r="A5" s="8" t="s">
        <v>9</v>
      </c>
      <c r="B5" s="8"/>
      <c r="C5" s="8" t="s">
        <v>10</v>
      </c>
      <c r="D5" s="8"/>
      <c r="E5" s="8" t="s">
        <v>11</v>
      </c>
      <c r="F5" s="8"/>
      <c r="G5" s="8"/>
    </row>
    <row r="6" spans="1:13" ht="27.75" customHeight="1" x14ac:dyDescent="0.25">
      <c r="A6" s="13" t="s">
        <v>12</v>
      </c>
      <c r="B6" s="13"/>
      <c r="C6" s="13"/>
      <c r="D6" s="13"/>
      <c r="E6" s="13"/>
      <c r="F6" s="13"/>
      <c r="G6" s="13"/>
    </row>
    <row r="7" spans="1:13" ht="31.5" customHeight="1" x14ac:dyDescent="0.25">
      <c r="A7" s="19" t="s">
        <v>13</v>
      </c>
      <c r="B7" s="20" t="s">
        <v>14</v>
      </c>
      <c r="C7" s="21" t="s">
        <v>15</v>
      </c>
      <c r="D7" s="22" t="s">
        <v>16</v>
      </c>
      <c r="E7" s="23" t="s">
        <v>17</v>
      </c>
      <c r="F7" s="24" t="s">
        <v>18</v>
      </c>
    </row>
    <row r="8" spans="1:13" ht="24" customHeight="1" x14ac:dyDescent="0.25">
      <c r="A8" s="25" t="s">
        <v>19</v>
      </c>
      <c r="B8" s="26">
        <f ca="1">($B$4/$D$4)*15*(1-0*0.06)</f>
        <v>285.75771669061953</v>
      </c>
      <c r="C8" s="26">
        <f ca="1">($B$4/$D$4)*25*(1-0*0.06)</f>
        <v>476.26286115103255</v>
      </c>
      <c r="D8" s="26">
        <f ca="1">($B$4/$D$4)*35*(1-0*0.06)</f>
        <v>666.76800561144557</v>
      </c>
      <c r="E8" s="26">
        <f ca="1">($B$4/$D$4)*50*(1-0*0.06)</f>
        <v>952.52572230206511</v>
      </c>
      <c r="F8" s="26">
        <f ca="1">($B$4/$D$4)*60*(1-0*0.06)</f>
        <v>1143.0308667624781</v>
      </c>
    </row>
    <row r="9" spans="1:13" ht="24" customHeight="1" x14ac:dyDescent="0.25">
      <c r="A9" s="27" t="s">
        <v>20</v>
      </c>
      <c r="B9" s="28">
        <f ca="1">($B$4/$D$4)*15*(1-0.005*0.06)</f>
        <v>285.67198937561233</v>
      </c>
      <c r="C9" s="28">
        <f ca="1">($B$4/$D$4)*25*(1-0.005*0.06)</f>
        <v>476.11998229268727</v>
      </c>
      <c r="D9" s="28">
        <f ca="1">($B$4/$D$4)*35*(1-0.005*0.06)</f>
        <v>666.56797520976215</v>
      </c>
      <c r="E9" s="28">
        <f ca="1">($B$4/$D$4)*50*(1-0.005*0.06)</f>
        <v>952.23996458537454</v>
      </c>
      <c r="F9" s="28">
        <f ca="1">($B$4/$D$4)*60*(1-0.005*0.06)</f>
        <v>1142.6879575024493</v>
      </c>
    </row>
    <row r="10" spans="1:13" ht="24" customHeight="1" x14ac:dyDescent="0.25">
      <c r="A10" s="29" t="s">
        <v>21</v>
      </c>
      <c r="B10" s="30">
        <f ca="1">($B$4/$D$4)*15*(1-0.01*0.06)</f>
        <v>285.58626206060512</v>
      </c>
      <c r="C10" s="30">
        <f ca="1">($B$4/$D$4)*25*(1-0.01*0.06)</f>
        <v>475.97710343434193</v>
      </c>
      <c r="D10" s="30">
        <f ca="1">($B$4/$D$4)*35*(1-0.01*0.06)</f>
        <v>666.36794480807873</v>
      </c>
      <c r="E10" s="30">
        <f ca="1">($B$4/$D$4)*50*(1-0.01*0.06)</f>
        <v>951.95420686868385</v>
      </c>
      <c r="F10" s="30">
        <f ca="1">($B$4/$D$4)*60*(1-0.01*0.06)</f>
        <v>1142.3450482424205</v>
      </c>
    </row>
    <row r="11" spans="1:13" ht="24" customHeight="1" x14ac:dyDescent="0.25">
      <c r="A11" s="31" t="s">
        <v>22</v>
      </c>
      <c r="B11" s="32">
        <f ca="1">($B$4/$D$4)*15*(1-0.025*0.06)</f>
        <v>285.32908011558362</v>
      </c>
      <c r="C11" s="32">
        <f ca="1">($B$4/$D$4)*25*(1-0.025*0.06)</f>
        <v>475.54846685930602</v>
      </c>
      <c r="D11" s="32">
        <f ca="1">($B$4/$D$4)*35*(1-0.025*0.06)</f>
        <v>665.76785360302847</v>
      </c>
      <c r="E11" s="32">
        <f ca="1">($B$4/$D$4)*50*(1-0.025*0.06)</f>
        <v>951.09693371861204</v>
      </c>
      <c r="F11" s="32">
        <f ca="1">($B$4/$D$4)*60*(1-0.025*0.06)</f>
        <v>1141.3163204623345</v>
      </c>
    </row>
    <row r="12" spans="1:13" ht="24" customHeight="1" x14ac:dyDescent="0.25">
      <c r="A12" s="33" t="s">
        <v>23</v>
      </c>
      <c r="B12" s="34">
        <f ca="1">($B$4/$D$4)*15*(1-0.05*0.06)</f>
        <v>284.90044354054766</v>
      </c>
      <c r="C12" s="34">
        <f ca="1">($B$4/$D$4)*25*(1-0.05*0.06)</f>
        <v>474.83407256757943</v>
      </c>
      <c r="D12" s="34">
        <f ca="1">($B$4/$D$4)*35*(1-0.05*0.06)</f>
        <v>664.76770159461125</v>
      </c>
      <c r="E12" s="34">
        <f ca="1">($B$4/$D$4)*50*(1-0.05*0.06)</f>
        <v>949.66814513515885</v>
      </c>
      <c r="F12" s="34">
        <f ca="1">($B$4/$D$4)*60*(1-0.05*0.06)</f>
        <v>1139.6017741621906</v>
      </c>
    </row>
    <row r="13" spans="1:13" ht="27.75" customHeight="1" x14ac:dyDescent="0.25">
      <c r="A13" s="13" t="s">
        <v>24</v>
      </c>
      <c r="B13" s="13"/>
      <c r="C13" s="13"/>
      <c r="D13" s="13"/>
      <c r="E13" s="13"/>
      <c r="F13" s="13"/>
      <c r="G13" s="13"/>
    </row>
    <row r="14" spans="1:13" ht="27.75" customHeight="1" x14ac:dyDescent="0.25">
      <c r="A14" s="19" t="s">
        <v>13</v>
      </c>
      <c r="B14" s="20" t="s">
        <v>14</v>
      </c>
      <c r="C14" s="21" t="s">
        <v>15</v>
      </c>
      <c r="D14" s="22" t="s">
        <v>16</v>
      </c>
      <c r="E14" s="23" t="s">
        <v>17</v>
      </c>
      <c r="F14" s="24" t="s">
        <v>18</v>
      </c>
    </row>
    <row r="15" spans="1:13" ht="24" customHeight="1" x14ac:dyDescent="0.25">
      <c r="A15" s="25" t="s">
        <v>19</v>
      </c>
      <c r="B15" s="35">
        <f t="shared" ref="B15:F19" ca="1" si="0">(B8-$B$4)/$B$4</f>
        <v>-0.71409075140762657</v>
      </c>
      <c r="C15" s="35">
        <f t="shared" ca="1" si="0"/>
        <v>-0.5234845856793775</v>
      </c>
      <c r="D15" s="35">
        <f t="shared" ca="1" si="0"/>
        <v>-0.33287841995112855</v>
      </c>
      <c r="E15" s="35">
        <f t="shared" ca="1" si="0"/>
        <v>-4.6969171358755057E-2</v>
      </c>
      <c r="F15" s="35">
        <f t="shared" ca="1" si="0"/>
        <v>0.14363699436949393</v>
      </c>
    </row>
    <row r="16" spans="1:13" ht="24" customHeight="1" x14ac:dyDescent="0.25">
      <c r="A16" s="27" t="s">
        <v>20</v>
      </c>
      <c r="B16" s="36">
        <f t="shared" ca="1" si="0"/>
        <v>-0.71417652418220423</v>
      </c>
      <c r="C16" s="36">
        <f t="shared" ca="1" si="0"/>
        <v>-0.52362754030367364</v>
      </c>
      <c r="D16" s="36">
        <f t="shared" ca="1" si="0"/>
        <v>-0.33307855642514317</v>
      </c>
      <c r="E16" s="36">
        <f t="shared" ca="1" si="0"/>
        <v>-4.7255080607347386E-2</v>
      </c>
      <c r="F16" s="36">
        <f t="shared" ca="1" si="0"/>
        <v>0.14329390327118299</v>
      </c>
    </row>
    <row r="17" spans="1:7" ht="24" customHeight="1" x14ac:dyDescent="0.25">
      <c r="A17" s="29" t="s">
        <v>21</v>
      </c>
      <c r="B17" s="37">
        <f t="shared" ca="1" si="0"/>
        <v>-0.71426229695678201</v>
      </c>
      <c r="C17" s="37">
        <f t="shared" ca="1" si="0"/>
        <v>-0.52377049492797001</v>
      </c>
      <c r="D17" s="37">
        <f t="shared" ca="1" si="0"/>
        <v>-0.33327869289915785</v>
      </c>
      <c r="E17" s="37">
        <f t="shared" ca="1" si="0"/>
        <v>-4.7540989855939818E-2</v>
      </c>
      <c r="F17" s="37">
        <f t="shared" ca="1" si="0"/>
        <v>0.14295081217287209</v>
      </c>
    </row>
    <row r="18" spans="1:7" ht="24" customHeight="1" x14ac:dyDescent="0.25">
      <c r="A18" s="31" t="s">
        <v>22</v>
      </c>
      <c r="B18" s="38">
        <f t="shared" ca="1" si="0"/>
        <v>-0.71451961528051511</v>
      </c>
      <c r="C18" s="38">
        <f t="shared" ca="1" si="0"/>
        <v>-0.52419935880085844</v>
      </c>
      <c r="D18" s="38">
        <f t="shared" ca="1" si="0"/>
        <v>-0.33387910232120177</v>
      </c>
      <c r="E18" s="38">
        <f t="shared" ca="1" si="0"/>
        <v>-4.8398717601716899E-2</v>
      </c>
      <c r="F18" s="38">
        <f t="shared" ca="1" si="0"/>
        <v>0.14192153887793976</v>
      </c>
    </row>
    <row r="19" spans="1:7" ht="24" customHeight="1" x14ac:dyDescent="0.25">
      <c r="A19" s="33" t="s">
        <v>23</v>
      </c>
      <c r="B19" s="39">
        <f t="shared" ca="1" si="0"/>
        <v>-0.71494847915340365</v>
      </c>
      <c r="C19" s="39">
        <f t="shared" ca="1" si="0"/>
        <v>-0.52491413192233949</v>
      </c>
      <c r="D19" s="39">
        <f t="shared" ca="1" si="0"/>
        <v>-0.33487978469127516</v>
      </c>
      <c r="E19" s="39">
        <f t="shared" ca="1" si="0"/>
        <v>-4.9828263844678852E-2</v>
      </c>
      <c r="F19" s="39">
        <f t="shared" ca="1" si="0"/>
        <v>0.14020608338638538</v>
      </c>
    </row>
    <row r="20" spans="1:7" ht="30" customHeight="1" x14ac:dyDescent="0.25">
      <c r="A20" s="7" t="s">
        <v>25</v>
      </c>
      <c r="B20" s="7"/>
      <c r="C20" s="7"/>
      <c r="D20" s="7"/>
      <c r="E20" s="7"/>
      <c r="F20" s="7"/>
      <c r="G20" s="7"/>
    </row>
    <row r="21" spans="1:7" ht="27.75" customHeight="1" x14ac:dyDescent="0.25">
      <c r="A21" s="13" t="s">
        <v>26</v>
      </c>
      <c r="B21" s="13"/>
      <c r="C21" s="13"/>
      <c r="D21" s="13"/>
      <c r="E21" s="13"/>
      <c r="F21" s="13"/>
      <c r="G21" s="13"/>
    </row>
    <row r="22" spans="1:7" ht="24" customHeight="1" x14ac:dyDescent="0.25">
      <c r="A22" s="40" t="s">
        <v>27</v>
      </c>
      <c r="B22" s="40" t="s">
        <v>28</v>
      </c>
      <c r="C22" s="6" t="s">
        <v>29</v>
      </c>
      <c r="D22" s="6"/>
      <c r="E22" s="6"/>
      <c r="F22" s="6"/>
      <c r="G22" s="6"/>
    </row>
    <row r="23" spans="1:7" ht="42" customHeight="1" x14ac:dyDescent="0.25">
      <c r="A23" s="41" t="s">
        <v>30</v>
      </c>
      <c r="B23" s="42" t="s">
        <v>31</v>
      </c>
      <c r="C23" s="5" t="s">
        <v>32</v>
      </c>
      <c r="D23" s="5"/>
      <c r="E23" s="5"/>
      <c r="F23" s="5"/>
      <c r="G23" s="5"/>
    </row>
    <row r="24" spans="1:7" ht="42" customHeight="1" x14ac:dyDescent="0.25">
      <c r="A24" s="43" t="s">
        <v>33</v>
      </c>
      <c r="B24" s="44" t="s">
        <v>34</v>
      </c>
      <c r="C24" s="4" t="s">
        <v>35</v>
      </c>
      <c r="D24" s="4"/>
      <c r="E24" s="4"/>
      <c r="F24" s="4"/>
      <c r="G24" s="4"/>
    </row>
    <row r="25" spans="1:7" ht="42" customHeight="1" x14ac:dyDescent="0.25">
      <c r="A25" s="45" t="s">
        <v>36</v>
      </c>
      <c r="B25" s="46" t="s">
        <v>37</v>
      </c>
      <c r="C25" s="3" t="s">
        <v>38</v>
      </c>
      <c r="D25" s="3"/>
      <c r="E25" s="3"/>
      <c r="F25" s="3"/>
      <c r="G25" s="3"/>
    </row>
    <row r="26" spans="1:7" ht="42" customHeight="1" x14ac:dyDescent="0.25">
      <c r="A26" s="47" t="s">
        <v>39</v>
      </c>
      <c r="B26" s="48" t="s">
        <v>40</v>
      </c>
      <c r="C26" s="2" t="s">
        <v>41</v>
      </c>
      <c r="D26" s="2"/>
      <c r="E26" s="2"/>
      <c r="F26" s="2"/>
      <c r="G26" s="2"/>
    </row>
    <row r="27" spans="1:7" ht="42" customHeight="1" x14ac:dyDescent="0.25">
      <c r="A27" s="49" t="s">
        <v>42</v>
      </c>
      <c r="B27" s="50" t="s">
        <v>43</v>
      </c>
      <c r="C27" s="1" t="s">
        <v>44</v>
      </c>
      <c r="D27" s="1"/>
      <c r="E27" s="1"/>
      <c r="F27" s="1"/>
      <c r="G27" s="1"/>
    </row>
    <row r="28" spans="1:7" ht="27.75" customHeight="1" x14ac:dyDescent="0.25">
      <c r="A28" s="13" t="s">
        <v>45</v>
      </c>
      <c r="B28" s="13"/>
      <c r="C28" s="13"/>
      <c r="D28" s="13"/>
      <c r="E28" s="13"/>
      <c r="F28" s="13"/>
      <c r="G28" s="13"/>
    </row>
    <row r="29" spans="1:7" ht="39.75" customHeight="1" x14ac:dyDescent="0.25">
      <c r="A29" s="51" t="s">
        <v>46</v>
      </c>
      <c r="B29" s="133" t="s">
        <v>47</v>
      </c>
      <c r="C29" s="133"/>
      <c r="D29" s="133"/>
      <c r="E29" s="133"/>
      <c r="F29" s="133"/>
      <c r="G29" s="133"/>
    </row>
    <row r="30" spans="1:7" ht="39.75" customHeight="1" x14ac:dyDescent="0.25">
      <c r="A30" s="52" t="s">
        <v>48</v>
      </c>
      <c r="B30" s="134" t="s">
        <v>49</v>
      </c>
      <c r="C30" s="134"/>
      <c r="D30" s="134"/>
      <c r="E30" s="134"/>
      <c r="F30" s="134"/>
      <c r="G30" s="134"/>
    </row>
    <row r="31" spans="1:7" ht="39.75" customHeight="1" x14ac:dyDescent="0.25">
      <c r="A31" s="51" t="s">
        <v>50</v>
      </c>
      <c r="B31" s="133" t="s">
        <v>51</v>
      </c>
      <c r="C31" s="133"/>
      <c r="D31" s="133"/>
      <c r="E31" s="133"/>
      <c r="F31" s="133"/>
      <c r="G31" s="133"/>
    </row>
    <row r="32" spans="1:7" ht="39.75" customHeight="1" x14ac:dyDescent="0.25">
      <c r="A32" s="52" t="s">
        <v>52</v>
      </c>
      <c r="B32" s="134" t="s">
        <v>53</v>
      </c>
      <c r="C32" s="134"/>
      <c r="D32" s="134"/>
      <c r="E32" s="134"/>
      <c r="F32" s="134"/>
      <c r="G32" s="134"/>
    </row>
    <row r="33" spans="1:7" ht="27.75" customHeight="1" x14ac:dyDescent="0.25">
      <c r="A33" s="135" t="s">
        <v>54</v>
      </c>
      <c r="B33" s="135"/>
      <c r="C33" s="135"/>
      <c r="D33" s="135"/>
      <c r="E33" s="135"/>
      <c r="F33" s="135"/>
      <c r="G33" s="135"/>
    </row>
    <row r="34" spans="1:7" ht="21.75" customHeight="1" x14ac:dyDescent="0.25"/>
    <row r="35" spans="1:7" ht="21.75" customHeight="1" x14ac:dyDescent="0.25"/>
    <row r="36" spans="1:7" ht="21.75" customHeight="1" x14ac:dyDescent="0.25"/>
    <row r="37" spans="1:7" ht="21.75" customHeight="1" x14ac:dyDescent="0.25"/>
    <row r="38" spans="1:7" ht="21.75" customHeight="1" x14ac:dyDescent="0.25"/>
    <row r="39" spans="1:7" ht="21.75" customHeight="1" x14ac:dyDescent="0.25"/>
    <row r="40" spans="1:7" ht="21.75" customHeight="1" x14ac:dyDescent="0.25"/>
    <row r="41" spans="1:7" ht="21.75" customHeight="1" x14ac:dyDescent="0.25"/>
    <row r="42" spans="1:7" ht="21.75" customHeight="1" x14ac:dyDescent="0.25"/>
    <row r="43" spans="1:7" ht="21.75" customHeight="1" x14ac:dyDescent="0.25"/>
    <row r="44" spans="1:7" ht="21.75" customHeight="1" x14ac:dyDescent="0.25"/>
    <row r="45" spans="1:7" ht="21.75" customHeight="1" x14ac:dyDescent="0.25"/>
    <row r="46" spans="1:7" ht="21.75" customHeight="1" x14ac:dyDescent="0.25"/>
    <row r="47" spans="1:7" ht="21.75" customHeight="1" x14ac:dyDescent="0.25"/>
    <row r="48" spans="1:7" ht="21.75" customHeight="1" x14ac:dyDescent="0.25"/>
    <row r="49" ht="21.75" customHeight="1" x14ac:dyDescent="0.25"/>
    <row r="50" ht="21.75" customHeight="1" x14ac:dyDescent="0.25"/>
    <row r="51" ht="21.75" customHeight="1" x14ac:dyDescent="0.25"/>
    <row r="52" ht="21.75" customHeight="1" x14ac:dyDescent="0.25"/>
    <row r="53" ht="21.75" customHeight="1" x14ac:dyDescent="0.25"/>
    <row r="54" ht="21.75" customHeight="1" x14ac:dyDescent="0.25"/>
  </sheetData>
  <mergeCells count="25">
    <mergeCell ref="B29:G29"/>
    <mergeCell ref="B30:G30"/>
    <mergeCell ref="B31:G31"/>
    <mergeCell ref="B32:G32"/>
    <mergeCell ref="A33:G33"/>
    <mergeCell ref="C24:G24"/>
    <mergeCell ref="C25:G25"/>
    <mergeCell ref="C26:G26"/>
    <mergeCell ref="C27:G27"/>
    <mergeCell ref="A28:G28"/>
    <mergeCell ref="A13:G13"/>
    <mergeCell ref="A20:G20"/>
    <mergeCell ref="A21:G21"/>
    <mergeCell ref="C22:G22"/>
    <mergeCell ref="C23:G23"/>
    <mergeCell ref="F4:G4"/>
    <mergeCell ref="A5:B5"/>
    <mergeCell ref="C5:D5"/>
    <mergeCell ref="E5:G5"/>
    <mergeCell ref="A6:G6"/>
    <mergeCell ref="A1:G1"/>
    <mergeCell ref="A2:G2"/>
    <mergeCell ref="A3:B3"/>
    <mergeCell ref="C3:D3"/>
    <mergeCell ref="E3:G3"/>
  </mergeCells>
  <conditionalFormatting sqref="B15:F19">
    <cfRule type="colorScale" priority="2">
      <colorScale>
        <cfvo type="min"/>
        <cfvo type="num" val="0"/>
        <cfvo type="max"/>
        <color rgb="FFB71C1C"/>
        <color rgb="FFFFEB3B"/>
        <color rgb="FF1B5E20"/>
      </colorScale>
    </cfRule>
  </conditionalFormatting>
  <pageMargins left="0.75" right="0.75" top="1" bottom="1" header="0.511811023622047" footer="0.511811023622047"/>
  <pageSetup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4B5F6"/>
  </sheetPr>
  <dimension ref="A1:K45"/>
  <sheetViews>
    <sheetView showGridLines="0" zoomScaleNormal="100" workbookViewId="0">
      <pane ySplit="11" topLeftCell="A12" activePane="bottomLeft" state="frozen"/>
      <selection pane="bottomLeft" activeCell="D49" sqref="D49"/>
    </sheetView>
  </sheetViews>
  <sheetFormatPr baseColWidth="10" defaultColWidth="8.7109375" defaultRowHeight="15" x14ac:dyDescent="0.25"/>
  <cols>
    <col min="1" max="1" width="30" customWidth="1"/>
    <col min="2" max="2" width="16" customWidth="1"/>
    <col min="3" max="3" width="14" customWidth="1"/>
    <col min="4" max="4" width="50" customWidth="1"/>
    <col min="5" max="10" width="14" customWidth="1"/>
    <col min="11" max="11" width="13" hidden="1" customWidth="1"/>
  </cols>
  <sheetData>
    <row r="1" spans="1:11" ht="36" customHeight="1" x14ac:dyDescent="0.25">
      <c r="A1" s="136" t="s">
        <v>55</v>
      </c>
      <c r="B1" s="136"/>
      <c r="C1" s="136"/>
      <c r="D1" s="136"/>
      <c r="E1" s="136"/>
      <c r="F1" s="136"/>
      <c r="G1" s="136"/>
      <c r="H1" s="136"/>
      <c r="I1" s="136"/>
      <c r="J1" s="136"/>
      <c r="K1" s="53">
        <f ca="1">'Matriz de Sensibilidad'!$B$4/'Matriz de Sensibilidad'!$D$4</f>
        <v>19.050514446041301</v>
      </c>
    </row>
    <row r="2" spans="1:11" ht="25.5" customHeight="1" x14ac:dyDescent="0.25">
      <c r="A2" s="137" t="s">
        <v>56</v>
      </c>
      <c r="B2" s="137"/>
      <c r="C2" s="137"/>
      <c r="D2" s="137"/>
      <c r="E2" s="137"/>
      <c r="F2" s="137"/>
      <c r="G2" s="137"/>
      <c r="H2" s="137"/>
      <c r="I2" s="137"/>
      <c r="J2" s="137"/>
      <c r="K2" s="53">
        <f ca="1">'Matriz de Sensibilidad'!$B$4</f>
        <v>999.47</v>
      </c>
    </row>
    <row r="3" spans="1:11" ht="21.75" customHeight="1" x14ac:dyDescent="0.25">
      <c r="A3" s="54" t="s">
        <v>57</v>
      </c>
      <c r="B3" s="55">
        <f ca="1">'Matriz de Sensibilidad'!$B$4</f>
        <v>999.47</v>
      </c>
      <c r="C3" s="138" t="s">
        <v>58</v>
      </c>
      <c r="D3" s="138"/>
      <c r="E3" s="138"/>
      <c r="F3" s="138"/>
      <c r="G3" s="138"/>
      <c r="H3" s="138"/>
      <c r="I3" s="138"/>
      <c r="J3" s="138"/>
      <c r="K3" s="56">
        <f ca="1">'Matriz de Sensibilidad'!$D$4</f>
        <v>52.464199999999998</v>
      </c>
    </row>
    <row r="4" spans="1:11" ht="21.75" customHeight="1" x14ac:dyDescent="0.25">
      <c r="A4" s="54" t="s">
        <v>59</v>
      </c>
      <c r="B4" s="57">
        <f ca="1">'Matriz de Sensibilidad'!$D$4</f>
        <v>52.464199999999998</v>
      </c>
      <c r="C4" s="138" t="s">
        <v>60</v>
      </c>
      <c r="D4" s="138"/>
      <c r="E4" s="138"/>
      <c r="F4" s="138"/>
      <c r="G4" s="138"/>
      <c r="H4" s="138"/>
      <c r="I4" s="138"/>
      <c r="J4" s="138"/>
    </row>
    <row r="5" spans="1:11" ht="21.75" customHeight="1" x14ac:dyDescent="0.25">
      <c r="A5" s="54" t="s">
        <v>48</v>
      </c>
      <c r="B5" s="55">
        <f ca="1">'Matriz de Sensibilidad'!$B$4/'Matriz de Sensibilidad'!$D$4</f>
        <v>19.050514446041301</v>
      </c>
      <c r="C5" s="138" t="s">
        <v>61</v>
      </c>
      <c r="D5" s="138"/>
      <c r="E5" s="138"/>
      <c r="F5" s="138"/>
      <c r="G5" s="138"/>
      <c r="H5" s="138"/>
      <c r="I5" s="138"/>
      <c r="J5" s="138"/>
    </row>
    <row r="6" spans="1:11" ht="21.75" customHeight="1" x14ac:dyDescent="0.25">
      <c r="A6" s="54" t="s">
        <v>62</v>
      </c>
      <c r="B6" s="58">
        <v>38</v>
      </c>
      <c r="C6" s="138" t="s">
        <v>63</v>
      </c>
      <c r="D6" s="138"/>
      <c r="E6" s="138"/>
      <c r="F6" s="138"/>
      <c r="G6" s="138"/>
      <c r="H6" s="138"/>
      <c r="I6" s="138"/>
      <c r="J6" s="138"/>
    </row>
    <row r="7" spans="1:11" ht="21.75" customHeight="1" x14ac:dyDescent="0.25">
      <c r="A7" s="54" t="s">
        <v>64</v>
      </c>
      <c r="B7" s="59">
        <v>9</v>
      </c>
      <c r="C7" s="138" t="s">
        <v>65</v>
      </c>
      <c r="D7" s="138"/>
      <c r="E7" s="138"/>
      <c r="F7" s="138"/>
      <c r="G7" s="138"/>
      <c r="H7" s="138"/>
      <c r="I7" s="138"/>
      <c r="J7" s="138"/>
    </row>
    <row r="8" spans="1:11" ht="21.75" customHeight="1" x14ac:dyDescent="0.25">
      <c r="A8" s="54" t="s">
        <v>66</v>
      </c>
      <c r="B8" s="60">
        <v>0.01</v>
      </c>
      <c r="C8" s="138" t="s">
        <v>67</v>
      </c>
      <c r="D8" s="138"/>
      <c r="E8" s="138"/>
      <c r="F8" s="138"/>
      <c r="G8" s="138"/>
      <c r="H8" s="138"/>
      <c r="I8" s="138"/>
      <c r="J8" s="138"/>
    </row>
    <row r="9" spans="1:11" ht="21.75" customHeight="1" x14ac:dyDescent="0.25">
      <c r="A9" s="54" t="s">
        <v>68</v>
      </c>
      <c r="B9" s="60">
        <v>1.4999999999999999E-2</v>
      </c>
      <c r="C9" s="138" t="s">
        <v>69</v>
      </c>
      <c r="D9" s="138"/>
      <c r="E9" s="138"/>
      <c r="F9" s="138"/>
      <c r="G9" s="138"/>
      <c r="H9" s="138"/>
      <c r="I9" s="138"/>
      <c r="J9" s="138"/>
    </row>
    <row r="11" spans="1:11" ht="25.5" customHeight="1" x14ac:dyDescent="0.25">
      <c r="A11" s="137" t="s">
        <v>70</v>
      </c>
      <c r="B11" s="137"/>
      <c r="C11" s="137"/>
      <c r="D11" s="137"/>
      <c r="E11" s="137"/>
      <c r="F11" s="137"/>
      <c r="G11" s="137"/>
      <c r="H11" s="137"/>
      <c r="I11" s="137"/>
      <c r="J11" s="137"/>
    </row>
    <row r="12" spans="1:11" ht="21.75" customHeight="1" x14ac:dyDescent="0.25">
      <c r="A12" s="61" t="s">
        <v>71</v>
      </c>
      <c r="B12" s="61" t="s">
        <v>72</v>
      </c>
      <c r="C12" s="139" t="s">
        <v>73</v>
      </c>
      <c r="D12" s="139"/>
      <c r="E12" s="139"/>
      <c r="F12" s="139"/>
      <c r="G12" s="139"/>
      <c r="H12" s="139"/>
      <c r="I12" s="139"/>
      <c r="J12" s="139"/>
    </row>
    <row r="13" spans="1:11" ht="24" customHeight="1" x14ac:dyDescent="0.25">
      <c r="A13" s="62" t="s">
        <v>74</v>
      </c>
      <c r="B13" s="63">
        <v>731.28195040169999</v>
      </c>
      <c r="C13" s="140" t="s">
        <v>75</v>
      </c>
      <c r="D13" s="140"/>
      <c r="E13" s="140"/>
      <c r="F13" s="140"/>
      <c r="G13" s="140"/>
      <c r="H13" s="140"/>
      <c r="I13" s="140"/>
      <c r="J13" s="140"/>
    </row>
    <row r="14" spans="1:11" ht="24" customHeight="1" x14ac:dyDescent="0.25">
      <c r="A14" s="64" t="s">
        <v>76</v>
      </c>
      <c r="B14" s="65">
        <v>731.19480279442098</v>
      </c>
      <c r="C14" s="141" t="s">
        <v>77</v>
      </c>
      <c r="D14" s="141"/>
      <c r="E14" s="141"/>
      <c r="F14" s="141"/>
      <c r="G14" s="141"/>
      <c r="H14" s="141"/>
      <c r="I14" s="141"/>
      <c r="J14" s="141"/>
    </row>
    <row r="15" spans="1:11" ht="24" customHeight="1" x14ac:dyDescent="0.25">
      <c r="A15" s="66" t="s">
        <v>78</v>
      </c>
      <c r="B15" s="67">
        <v>169.32287989932499</v>
      </c>
      <c r="C15" s="142" t="s">
        <v>79</v>
      </c>
      <c r="D15" s="142"/>
      <c r="E15" s="142"/>
      <c r="F15" s="142"/>
      <c r="G15" s="142"/>
      <c r="H15" s="142"/>
      <c r="I15" s="142"/>
      <c r="J15" s="142"/>
    </row>
    <row r="16" spans="1:11" ht="24" customHeight="1" x14ac:dyDescent="0.25">
      <c r="A16" s="68" t="s">
        <v>80</v>
      </c>
      <c r="B16" s="69">
        <v>455.56832814548102</v>
      </c>
      <c r="C16" s="143" t="s">
        <v>81</v>
      </c>
      <c r="D16" s="143"/>
      <c r="E16" s="143"/>
      <c r="F16" s="143"/>
      <c r="G16" s="143"/>
      <c r="H16" s="143"/>
      <c r="I16" s="143"/>
      <c r="J16" s="143"/>
    </row>
    <row r="17" spans="1:10" ht="24" customHeight="1" x14ac:dyDescent="0.25">
      <c r="A17" s="70" t="s">
        <v>82</v>
      </c>
      <c r="B17" s="71">
        <v>617.094171093299</v>
      </c>
      <c r="C17" s="144" t="s">
        <v>83</v>
      </c>
      <c r="D17" s="144"/>
      <c r="E17" s="144"/>
      <c r="F17" s="144"/>
      <c r="G17" s="144"/>
      <c r="H17" s="144"/>
      <c r="I17" s="144"/>
      <c r="J17" s="144"/>
    </row>
    <row r="18" spans="1:10" ht="24" customHeight="1" x14ac:dyDescent="0.25">
      <c r="A18" s="64" t="s">
        <v>84</v>
      </c>
      <c r="B18" s="65">
        <v>841.28688780597997</v>
      </c>
      <c r="C18" s="141" t="s">
        <v>85</v>
      </c>
      <c r="D18" s="141"/>
      <c r="E18" s="141"/>
      <c r="F18" s="141"/>
      <c r="G18" s="141"/>
      <c r="H18" s="141"/>
      <c r="I18" s="141"/>
      <c r="J18" s="141"/>
    </row>
    <row r="19" spans="1:10" ht="24" customHeight="1" x14ac:dyDescent="0.25">
      <c r="A19" s="68" t="s">
        <v>86</v>
      </c>
      <c r="B19" s="69">
        <v>1012.6473658243</v>
      </c>
      <c r="C19" s="143" t="s">
        <v>87</v>
      </c>
      <c r="D19" s="143"/>
      <c r="E19" s="143"/>
      <c r="F19" s="143"/>
      <c r="G19" s="143"/>
      <c r="H19" s="143"/>
      <c r="I19" s="143"/>
      <c r="J19" s="143"/>
    </row>
    <row r="20" spans="1:10" ht="24" customHeight="1" x14ac:dyDescent="0.25">
      <c r="A20" s="72" t="s">
        <v>88</v>
      </c>
      <c r="B20" s="73">
        <v>0.93799999999999994</v>
      </c>
      <c r="C20" s="145" t="s">
        <v>89</v>
      </c>
      <c r="D20" s="145"/>
      <c r="E20" s="145"/>
      <c r="F20" s="145"/>
      <c r="G20" s="145"/>
      <c r="H20" s="145"/>
      <c r="I20" s="145"/>
      <c r="J20" s="145"/>
    </row>
    <row r="21" spans="1:10" ht="24" customHeight="1" x14ac:dyDescent="0.25">
      <c r="A21" s="74" t="s">
        <v>90</v>
      </c>
      <c r="B21" s="75">
        <v>1.4E-2</v>
      </c>
      <c r="C21" s="146" t="s">
        <v>91</v>
      </c>
      <c r="D21" s="146"/>
      <c r="E21" s="146"/>
      <c r="F21" s="146"/>
      <c r="G21" s="146"/>
      <c r="H21" s="146"/>
      <c r="I21" s="146"/>
      <c r="J21" s="146"/>
    </row>
    <row r="22" spans="1:10" ht="33.75" customHeight="1" x14ac:dyDescent="0.25">
      <c r="A22" s="147" t="s">
        <v>92</v>
      </c>
      <c r="B22" s="147"/>
      <c r="C22" s="147"/>
      <c r="D22" s="147"/>
      <c r="E22" s="147"/>
      <c r="F22" s="147"/>
      <c r="G22" s="147"/>
      <c r="H22" s="147"/>
      <c r="I22" s="147"/>
      <c r="J22" s="147"/>
    </row>
    <row r="23" spans="1:10" ht="25.5" customHeight="1" x14ac:dyDescent="0.25">
      <c r="A23" s="137" t="s">
        <v>93</v>
      </c>
      <c r="B23" s="137"/>
      <c r="C23" s="137"/>
      <c r="D23" s="137"/>
      <c r="E23" s="137"/>
      <c r="F23" s="137"/>
      <c r="G23" s="137"/>
      <c r="H23" s="137"/>
      <c r="I23" s="137"/>
      <c r="J23" s="137"/>
    </row>
    <row r="24" spans="1:10" ht="21.75" customHeight="1" x14ac:dyDescent="0.25">
      <c r="A24" s="61" t="s">
        <v>94</v>
      </c>
      <c r="B24" s="61" t="s">
        <v>95</v>
      </c>
      <c r="C24" s="139" t="s">
        <v>96</v>
      </c>
      <c r="D24" s="139"/>
      <c r="E24" s="139"/>
      <c r="F24" s="139"/>
      <c r="G24" s="139"/>
      <c r="H24" s="139"/>
      <c r="I24" s="139"/>
      <c r="J24" s="139"/>
    </row>
    <row r="25" spans="1:10" ht="18" customHeight="1" x14ac:dyDescent="0.25">
      <c r="A25" s="76" t="s">
        <v>97</v>
      </c>
      <c r="B25" s="77">
        <v>6</v>
      </c>
      <c r="C25" s="148">
        <v>3.0000000000000001E-3</v>
      </c>
      <c r="D25" s="148"/>
      <c r="E25" s="148"/>
      <c r="F25" s="148"/>
      <c r="G25" s="148"/>
      <c r="H25" s="148"/>
      <c r="I25" s="148"/>
      <c r="J25" s="148"/>
    </row>
    <row r="26" spans="1:10" ht="18" customHeight="1" x14ac:dyDescent="0.25">
      <c r="A26" s="76" t="s">
        <v>98</v>
      </c>
      <c r="B26" s="77">
        <v>8</v>
      </c>
      <c r="C26" s="148">
        <v>4.0000000000000001E-3</v>
      </c>
      <c r="D26" s="148"/>
      <c r="E26" s="148"/>
      <c r="F26" s="148"/>
      <c r="G26" s="148"/>
      <c r="H26" s="148"/>
      <c r="I26" s="148"/>
      <c r="J26" s="148"/>
    </row>
    <row r="27" spans="1:10" ht="18" customHeight="1" x14ac:dyDescent="0.25">
      <c r="A27" s="76" t="s">
        <v>99</v>
      </c>
      <c r="B27" s="77">
        <v>8</v>
      </c>
      <c r="C27" s="148">
        <v>4.0000000000000001E-3</v>
      </c>
      <c r="D27" s="148"/>
      <c r="E27" s="148"/>
      <c r="F27" s="148"/>
      <c r="G27" s="148"/>
      <c r="H27" s="148"/>
      <c r="I27" s="148"/>
      <c r="J27" s="148"/>
    </row>
    <row r="28" spans="1:10" ht="18" customHeight="1" x14ac:dyDescent="0.25">
      <c r="A28" s="76" t="s">
        <v>100</v>
      </c>
      <c r="B28" s="77">
        <v>32</v>
      </c>
      <c r="C28" s="148">
        <v>1.6E-2</v>
      </c>
      <c r="D28" s="148"/>
      <c r="E28" s="148"/>
      <c r="F28" s="148"/>
      <c r="G28" s="148"/>
      <c r="H28" s="148"/>
      <c r="I28" s="148"/>
      <c r="J28" s="148"/>
    </row>
    <row r="29" spans="1:10" ht="18" customHeight="1" x14ac:dyDescent="0.25">
      <c r="A29" s="76" t="s">
        <v>101</v>
      </c>
      <c r="B29" s="77">
        <v>66</v>
      </c>
      <c r="C29" s="148">
        <v>3.3000000000000002E-2</v>
      </c>
      <c r="D29" s="148"/>
      <c r="E29" s="148"/>
      <c r="F29" s="148"/>
      <c r="G29" s="148"/>
      <c r="H29" s="148"/>
      <c r="I29" s="148"/>
      <c r="J29" s="148"/>
    </row>
    <row r="30" spans="1:10" ht="18" customHeight="1" x14ac:dyDescent="0.25">
      <c r="A30" s="76" t="s">
        <v>102</v>
      </c>
      <c r="B30" s="77">
        <v>102</v>
      </c>
      <c r="C30" s="148">
        <v>5.0999999999999997E-2</v>
      </c>
      <c r="D30" s="148"/>
      <c r="E30" s="148"/>
      <c r="F30" s="148"/>
      <c r="G30" s="148"/>
      <c r="H30" s="148"/>
      <c r="I30" s="148"/>
      <c r="J30" s="148"/>
    </row>
    <row r="31" spans="1:10" ht="18" customHeight="1" x14ac:dyDescent="0.25">
      <c r="A31" s="76" t="s">
        <v>103</v>
      </c>
      <c r="B31" s="77">
        <v>156</v>
      </c>
      <c r="C31" s="148">
        <v>7.8E-2</v>
      </c>
      <c r="D31" s="148"/>
      <c r="E31" s="148"/>
      <c r="F31" s="148"/>
      <c r="G31" s="148"/>
      <c r="H31" s="148"/>
      <c r="I31" s="148"/>
      <c r="J31" s="148"/>
    </row>
    <row r="32" spans="1:10" ht="18" customHeight="1" x14ac:dyDescent="0.25">
      <c r="A32" s="76" t="s">
        <v>104</v>
      </c>
      <c r="B32" s="77">
        <v>233</v>
      </c>
      <c r="C32" s="148">
        <v>0.11650000000000001</v>
      </c>
      <c r="D32" s="148"/>
      <c r="E32" s="148"/>
      <c r="F32" s="148"/>
      <c r="G32" s="148"/>
      <c r="H32" s="148"/>
      <c r="I32" s="148"/>
      <c r="J32" s="148"/>
    </row>
    <row r="33" spans="1:10" ht="18" customHeight="1" x14ac:dyDescent="0.25">
      <c r="A33" s="76" t="s">
        <v>105</v>
      </c>
      <c r="B33" s="77">
        <v>241</v>
      </c>
      <c r="C33" s="148">
        <v>0.1205</v>
      </c>
      <c r="D33" s="148"/>
      <c r="E33" s="148"/>
      <c r="F33" s="148"/>
      <c r="G33" s="148"/>
      <c r="H33" s="148"/>
      <c r="I33" s="148"/>
      <c r="J33" s="148"/>
    </row>
    <row r="34" spans="1:10" ht="18" customHeight="1" x14ac:dyDescent="0.25">
      <c r="A34" s="76" t="s">
        <v>106</v>
      </c>
      <c r="B34" s="77">
        <v>283</v>
      </c>
      <c r="C34" s="148">
        <v>0.14149999999999999</v>
      </c>
      <c r="D34" s="148"/>
      <c r="E34" s="148"/>
      <c r="F34" s="148"/>
      <c r="G34" s="148"/>
      <c r="H34" s="148"/>
      <c r="I34" s="148"/>
      <c r="J34" s="148"/>
    </row>
    <row r="35" spans="1:10" ht="18" customHeight="1" x14ac:dyDescent="0.25">
      <c r="A35" s="76" t="s">
        <v>107</v>
      </c>
      <c r="B35" s="77">
        <v>261</v>
      </c>
      <c r="C35" s="148">
        <v>0.1305</v>
      </c>
      <c r="D35" s="148"/>
      <c r="E35" s="148"/>
      <c r="F35" s="148"/>
      <c r="G35" s="148"/>
      <c r="H35" s="148"/>
      <c r="I35" s="148"/>
      <c r="J35" s="148"/>
    </row>
    <row r="36" spans="1:10" ht="18" customHeight="1" x14ac:dyDescent="0.25">
      <c r="A36" s="76" t="s">
        <v>108</v>
      </c>
      <c r="B36" s="77">
        <v>211</v>
      </c>
      <c r="C36" s="148">
        <v>0.1055</v>
      </c>
      <c r="D36" s="148"/>
      <c r="E36" s="148"/>
      <c r="F36" s="148"/>
      <c r="G36" s="148"/>
      <c r="H36" s="148"/>
      <c r="I36" s="148"/>
      <c r="J36" s="148"/>
    </row>
    <row r="37" spans="1:10" ht="18" customHeight="1" x14ac:dyDescent="0.25">
      <c r="A37" s="78" t="s">
        <v>109</v>
      </c>
      <c r="B37" s="79">
        <v>161</v>
      </c>
      <c r="C37" s="149">
        <v>8.0500000000000002E-2</v>
      </c>
      <c r="D37" s="149"/>
      <c r="E37" s="149"/>
      <c r="F37" s="149"/>
      <c r="G37" s="149"/>
      <c r="H37" s="149"/>
      <c r="I37" s="149"/>
      <c r="J37" s="149"/>
    </row>
    <row r="38" spans="1:10" ht="18" customHeight="1" x14ac:dyDescent="0.25">
      <c r="A38" s="78" t="s">
        <v>110</v>
      </c>
      <c r="B38" s="79">
        <v>95</v>
      </c>
      <c r="C38" s="149">
        <v>4.7500000000000001E-2</v>
      </c>
      <c r="D38" s="149"/>
      <c r="E38" s="149"/>
      <c r="F38" s="149"/>
      <c r="G38" s="149"/>
      <c r="H38" s="149"/>
      <c r="I38" s="149"/>
      <c r="J38" s="149"/>
    </row>
    <row r="39" spans="1:10" ht="18" customHeight="1" x14ac:dyDescent="0.25">
      <c r="A39" s="78" t="s">
        <v>111</v>
      </c>
      <c r="B39" s="79">
        <v>74</v>
      </c>
      <c r="C39" s="149">
        <v>3.6999999999999998E-2</v>
      </c>
      <c r="D39" s="149"/>
      <c r="E39" s="149"/>
      <c r="F39" s="149"/>
      <c r="G39" s="149"/>
      <c r="H39" s="149"/>
      <c r="I39" s="149"/>
      <c r="J39" s="149"/>
    </row>
    <row r="40" spans="1:10" ht="18" customHeight="1" x14ac:dyDescent="0.25">
      <c r="A40" s="80" t="s">
        <v>112</v>
      </c>
      <c r="B40" s="81">
        <v>36</v>
      </c>
      <c r="C40" s="150">
        <v>1.7999999999999999E-2</v>
      </c>
      <c r="D40" s="150"/>
      <c r="E40" s="150"/>
      <c r="F40" s="150"/>
      <c r="G40" s="150"/>
      <c r="H40" s="150"/>
      <c r="I40" s="150"/>
      <c r="J40" s="150"/>
    </row>
    <row r="41" spans="1:10" ht="18" customHeight="1" x14ac:dyDescent="0.25">
      <c r="A41" s="80" t="s">
        <v>113</v>
      </c>
      <c r="B41" s="81">
        <v>16</v>
      </c>
      <c r="C41" s="150">
        <v>8.0000000000000002E-3</v>
      </c>
      <c r="D41" s="150"/>
      <c r="E41" s="150"/>
      <c r="F41" s="150"/>
      <c r="G41" s="150"/>
      <c r="H41" s="150"/>
      <c r="I41" s="150"/>
      <c r="J41" s="150"/>
    </row>
    <row r="42" spans="1:10" ht="18" customHeight="1" x14ac:dyDescent="0.25">
      <c r="A42" s="80" t="s">
        <v>114</v>
      </c>
      <c r="B42" s="81">
        <v>7</v>
      </c>
      <c r="C42" s="150">
        <v>3.5000000000000001E-3</v>
      </c>
      <c r="D42" s="150"/>
      <c r="E42" s="150"/>
      <c r="F42" s="150"/>
      <c r="G42" s="150"/>
      <c r="H42" s="150"/>
      <c r="I42" s="150"/>
      <c r="J42" s="150"/>
    </row>
    <row r="43" spans="1:10" ht="18" customHeight="1" x14ac:dyDescent="0.25">
      <c r="A43" s="80" t="s">
        <v>115</v>
      </c>
      <c r="B43" s="81">
        <v>3</v>
      </c>
      <c r="C43" s="150">
        <v>1.5E-3</v>
      </c>
      <c r="D43" s="150"/>
      <c r="E43" s="150"/>
      <c r="F43" s="150"/>
      <c r="G43" s="150"/>
      <c r="H43" s="150"/>
      <c r="I43" s="150"/>
      <c r="J43" s="150"/>
    </row>
    <row r="44" spans="1:10" ht="18" customHeight="1" x14ac:dyDescent="0.25">
      <c r="A44" s="80" t="s">
        <v>116</v>
      </c>
      <c r="B44" s="81">
        <v>0</v>
      </c>
      <c r="C44" s="150">
        <v>0</v>
      </c>
      <c r="D44" s="150"/>
      <c r="E44" s="150"/>
      <c r="F44" s="150"/>
      <c r="G44" s="150"/>
      <c r="H44" s="150"/>
      <c r="I44" s="150"/>
      <c r="J44" s="150"/>
    </row>
    <row r="45" spans="1:10" ht="18" customHeight="1" x14ac:dyDescent="0.25">
      <c r="A45" s="80" t="s">
        <v>117</v>
      </c>
      <c r="B45" s="81">
        <v>1</v>
      </c>
      <c r="C45" s="150">
        <v>5.0000000000000001E-4</v>
      </c>
      <c r="D45" s="150"/>
      <c r="E45" s="150"/>
      <c r="F45" s="150"/>
      <c r="G45" s="150"/>
      <c r="H45" s="150"/>
      <c r="I45" s="150"/>
      <c r="J45" s="150"/>
    </row>
  </sheetData>
  <mergeCells count="44">
    <mergeCell ref="C42:J42"/>
    <mergeCell ref="C43:J43"/>
    <mergeCell ref="C44:J44"/>
    <mergeCell ref="C45:J45"/>
    <mergeCell ref="C37:J37"/>
    <mergeCell ref="C38:J38"/>
    <mergeCell ref="C39:J39"/>
    <mergeCell ref="C40:J40"/>
    <mergeCell ref="C41:J41"/>
    <mergeCell ref="C32:J32"/>
    <mergeCell ref="C33:J33"/>
    <mergeCell ref="C34:J34"/>
    <mergeCell ref="C35:J35"/>
    <mergeCell ref="C36:J36"/>
    <mergeCell ref="C27:J27"/>
    <mergeCell ref="C28:J28"/>
    <mergeCell ref="C29:J29"/>
    <mergeCell ref="C30:J30"/>
    <mergeCell ref="C31:J31"/>
    <mergeCell ref="A22:J22"/>
    <mergeCell ref="A23:J23"/>
    <mergeCell ref="C24:J24"/>
    <mergeCell ref="C25:J25"/>
    <mergeCell ref="C26:J26"/>
    <mergeCell ref="C17:J17"/>
    <mergeCell ref="C18:J18"/>
    <mergeCell ref="C19:J19"/>
    <mergeCell ref="C20:J20"/>
    <mergeCell ref="C21:J21"/>
    <mergeCell ref="C12:J12"/>
    <mergeCell ref="C13:J13"/>
    <mergeCell ref="C14:J14"/>
    <mergeCell ref="C15:J15"/>
    <mergeCell ref="C16:J16"/>
    <mergeCell ref="C6:J6"/>
    <mergeCell ref="C7:J7"/>
    <mergeCell ref="C8:J8"/>
    <mergeCell ref="C9:J9"/>
    <mergeCell ref="A11:J11"/>
    <mergeCell ref="A1:J1"/>
    <mergeCell ref="A2:J2"/>
    <mergeCell ref="C3:J3"/>
    <mergeCell ref="C4:J4"/>
    <mergeCell ref="C5:J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F5350"/>
  </sheetPr>
  <dimension ref="A1:I39"/>
  <sheetViews>
    <sheetView showGridLines="0" zoomScaleNormal="100" workbookViewId="0">
      <pane ySplit="3" topLeftCell="A4" activePane="bottomLeft" state="frozen"/>
      <selection pane="bottomLeft" activeCell="C31" sqref="C31"/>
    </sheetView>
  </sheetViews>
  <sheetFormatPr baseColWidth="10" defaultColWidth="8.7109375" defaultRowHeight="15" x14ac:dyDescent="0.25"/>
  <cols>
    <col min="1" max="1" width="36" customWidth="1"/>
    <col min="2" max="6" width="16" customWidth="1"/>
    <col min="7" max="7" width="18" customWidth="1"/>
    <col min="8" max="8" width="20" customWidth="1"/>
    <col min="9" max="9" width="13" hidden="1" customWidth="1"/>
  </cols>
  <sheetData>
    <row r="1" spans="1:9" ht="36" customHeight="1" x14ac:dyDescent="0.25">
      <c r="A1" s="136" t="s">
        <v>118</v>
      </c>
      <c r="B1" s="136"/>
      <c r="C1" s="136"/>
      <c r="D1" s="136"/>
      <c r="E1" s="136"/>
      <c r="F1" s="136"/>
      <c r="G1" s="136"/>
      <c r="H1" s="136"/>
      <c r="I1" s="53">
        <f ca="1">'Matriz de Sensibilidad'!$B$4</f>
        <v>999.47</v>
      </c>
    </row>
    <row r="2" spans="1:9" ht="24" customHeight="1" x14ac:dyDescent="0.25">
      <c r="A2" s="151" t="s">
        <v>119</v>
      </c>
      <c r="B2" s="151"/>
      <c r="C2" s="151"/>
      <c r="D2" s="151"/>
      <c r="E2" s="151"/>
      <c r="F2" s="151"/>
      <c r="G2" s="151"/>
      <c r="H2" s="151"/>
      <c r="I2" s="82">
        <f ca="1">'Matriz de Sensibilidad'!$D$4</f>
        <v>52.464199999999998</v>
      </c>
    </row>
    <row r="3" spans="1:9" ht="24" customHeight="1" x14ac:dyDescent="0.25">
      <c r="A3" s="61" t="s">
        <v>120</v>
      </c>
      <c r="B3" s="61" t="s">
        <v>121</v>
      </c>
      <c r="C3" s="61" t="s">
        <v>122</v>
      </c>
      <c r="D3" s="61" t="s">
        <v>123</v>
      </c>
      <c r="E3" s="61" t="s">
        <v>124</v>
      </c>
      <c r="F3" s="61" t="s">
        <v>125</v>
      </c>
      <c r="G3" s="61" t="s">
        <v>126</v>
      </c>
      <c r="H3" s="61" t="s">
        <v>127</v>
      </c>
      <c r="I3">
        <f ca="1">'Matriz de Sensibilidad'!$B$4/'Matriz de Sensibilidad'!$D$4</f>
        <v>19.050514446041301</v>
      </c>
    </row>
    <row r="4" spans="1:9" ht="25.5" customHeight="1" x14ac:dyDescent="0.25">
      <c r="A4" s="83" t="s">
        <v>128</v>
      </c>
      <c r="B4" s="84">
        <f ca="1">$I$3*15*(1-0*0.06)</f>
        <v>285.75771669061953</v>
      </c>
      <c r="C4" s="85">
        <f t="shared" ref="C4:C10" ca="1" si="0">$I$1</f>
        <v>999.47</v>
      </c>
      <c r="D4" s="86">
        <f ca="1">$I$3*60*(1-0*0.06)</f>
        <v>1143.0308667624781</v>
      </c>
      <c r="E4" s="87">
        <f t="shared" ref="E4:E10" ca="1" si="1">B4-$I$1</f>
        <v>-713.7122833093805</v>
      </c>
      <c r="F4" s="86">
        <f t="shared" ref="F4:F10" ca="1" si="2">D4-$I$1</f>
        <v>143.5608667624781</v>
      </c>
      <c r="G4" s="88">
        <f t="shared" ref="G4:G10" ca="1" si="3">D4-B4</f>
        <v>857.27315007185859</v>
      </c>
      <c r="H4" s="89">
        <f t="shared" ref="H4:H10" ca="1" si="4">(B4-$I$1)/$I$1</f>
        <v>-0.71409075140762657</v>
      </c>
    </row>
    <row r="5" spans="1:9" ht="25.5" customHeight="1" x14ac:dyDescent="0.25">
      <c r="A5" s="90" t="s">
        <v>129</v>
      </c>
      <c r="B5" s="91">
        <f ca="1">$I$3*$I$2*(1-0.05*0.06)</f>
        <v>996.47158999999999</v>
      </c>
      <c r="C5" s="92">
        <f t="shared" ca="1" si="0"/>
        <v>999.47</v>
      </c>
      <c r="D5" s="93">
        <f ca="1">$I$3*$I$2*(1+0.005*0.06)</f>
        <v>999.76984100000004</v>
      </c>
      <c r="E5" s="94">
        <f t="shared" ca="1" si="1"/>
        <v>-2.9984100000000353</v>
      </c>
      <c r="F5" s="93">
        <f t="shared" ca="1" si="2"/>
        <v>0.2998410000000149</v>
      </c>
      <c r="G5" s="95">
        <f t="shared" ca="1" si="3"/>
        <v>3.2982510000000502</v>
      </c>
      <c r="H5" s="96">
        <f t="shared" ca="1" si="4"/>
        <v>-3.0000000000000352E-3</v>
      </c>
    </row>
    <row r="6" spans="1:9" ht="25.5" customHeight="1" x14ac:dyDescent="0.25">
      <c r="A6" s="97" t="s">
        <v>130</v>
      </c>
      <c r="B6" s="98">
        <f ca="1">$I$3*0.6*$I$2</f>
        <v>599.68200000000002</v>
      </c>
      <c r="C6" s="99">
        <f t="shared" ca="1" si="0"/>
        <v>999.47</v>
      </c>
      <c r="D6" s="100">
        <f ca="1">$I$3*1.1*$I$2</f>
        <v>1099.4170000000001</v>
      </c>
      <c r="E6" s="101">
        <f t="shared" ca="1" si="1"/>
        <v>-399.78800000000001</v>
      </c>
      <c r="F6" s="100">
        <f t="shared" ca="1" si="2"/>
        <v>99.947000000000116</v>
      </c>
      <c r="G6" s="102">
        <f t="shared" ca="1" si="3"/>
        <v>499.73500000000013</v>
      </c>
      <c r="H6" s="103">
        <f t="shared" ca="1" si="4"/>
        <v>-0.4</v>
      </c>
    </row>
    <row r="7" spans="1:9" ht="25.5" customHeight="1" x14ac:dyDescent="0.25">
      <c r="A7" s="104" t="s">
        <v>131</v>
      </c>
      <c r="B7" s="105">
        <f ca="1">$I$3*0.2*35</f>
        <v>133.35360112228912</v>
      </c>
      <c r="C7" s="106">
        <f t="shared" ca="1" si="0"/>
        <v>999.47</v>
      </c>
      <c r="D7" s="107">
        <f ca="1">$I$3*1.05*$I$2</f>
        <v>1049.4435000000001</v>
      </c>
      <c r="E7" s="108">
        <f t="shared" ca="1" si="1"/>
        <v>-866.11639887771094</v>
      </c>
      <c r="F7" s="107">
        <f t="shared" ca="1" si="2"/>
        <v>49.973500000000058</v>
      </c>
      <c r="G7" s="109">
        <f t="shared" ca="1" si="3"/>
        <v>916.08989887771099</v>
      </c>
      <c r="H7" s="110">
        <f t="shared" ca="1" si="4"/>
        <v>-0.86657568399022578</v>
      </c>
    </row>
    <row r="8" spans="1:9" ht="25.5" customHeight="1" x14ac:dyDescent="0.25">
      <c r="A8" s="111" t="s">
        <v>132</v>
      </c>
      <c r="B8" s="112">
        <f ca="1">$I$3*0.75*40</f>
        <v>571.51543338123906</v>
      </c>
      <c r="C8" s="113">
        <f t="shared" ca="1" si="0"/>
        <v>999.47</v>
      </c>
      <c r="D8" s="114">
        <f ca="1">$I$3*1.08*$I$2</f>
        <v>1079.4276000000002</v>
      </c>
      <c r="E8" s="115">
        <f t="shared" ca="1" si="1"/>
        <v>-427.95456661876096</v>
      </c>
      <c r="F8" s="114">
        <f t="shared" ca="1" si="2"/>
        <v>79.957600000000184</v>
      </c>
      <c r="G8" s="116">
        <f t="shared" ca="1" si="3"/>
        <v>507.91216661876115</v>
      </c>
      <c r="H8" s="117">
        <f t="shared" ca="1" si="4"/>
        <v>-0.42818150281525302</v>
      </c>
    </row>
    <row r="9" spans="1:9" ht="25.5" customHeight="1" x14ac:dyDescent="0.25">
      <c r="A9" s="118" t="s">
        <v>133</v>
      </c>
      <c r="B9" s="119">
        <f ca="1">$I$3*0.85*42</f>
        <v>680.10336572367441</v>
      </c>
      <c r="C9" s="120">
        <f t="shared" ca="1" si="0"/>
        <v>999.47</v>
      </c>
      <c r="D9" s="121">
        <f ca="1">$I$3*1.03*$I$2</f>
        <v>1029.4541000000002</v>
      </c>
      <c r="E9" s="122">
        <f t="shared" ca="1" si="1"/>
        <v>-319.36663427632561</v>
      </c>
      <c r="F9" s="121">
        <f t="shared" ca="1" si="2"/>
        <v>29.984100000000126</v>
      </c>
      <c r="G9" s="123">
        <f t="shared" ca="1" si="3"/>
        <v>349.35073427632574</v>
      </c>
      <c r="H9" s="124">
        <f t="shared" ca="1" si="4"/>
        <v>-0.31953598835015118</v>
      </c>
    </row>
    <row r="10" spans="1:9" ht="25.5" customHeight="1" x14ac:dyDescent="0.25">
      <c r="A10" s="125" t="s">
        <v>134</v>
      </c>
      <c r="B10" s="126">
        <f ca="1">$I$3*35*(1-0.01*0.06)</f>
        <v>666.36794480807873</v>
      </c>
      <c r="C10" s="127">
        <f t="shared" ca="1" si="0"/>
        <v>999.47</v>
      </c>
      <c r="D10" s="128">
        <f ca="1">$I$3*$I$2*(1+0*0.06)</f>
        <v>999.47</v>
      </c>
      <c r="E10" s="129">
        <f t="shared" ca="1" si="1"/>
        <v>-333.10205519192129</v>
      </c>
      <c r="F10" s="128">
        <f t="shared" ca="1" si="2"/>
        <v>0</v>
      </c>
      <c r="G10" s="130">
        <f t="shared" ca="1" si="3"/>
        <v>333.10205519192129</v>
      </c>
      <c r="H10" s="131">
        <f t="shared" ca="1" si="4"/>
        <v>-0.33327869289915785</v>
      </c>
    </row>
    <row r="12" spans="1:9" ht="15.75" customHeight="1" x14ac:dyDescent="0.25">
      <c r="A12" s="152" t="s">
        <v>135</v>
      </c>
      <c r="B12" s="152"/>
      <c r="C12" s="152"/>
      <c r="D12" s="152"/>
      <c r="E12" s="152"/>
      <c r="F12" s="152"/>
      <c r="G12" s="152"/>
      <c r="H12" s="152"/>
    </row>
    <row r="13" spans="1:9" ht="15.75" customHeight="1" x14ac:dyDescent="0.25">
      <c r="A13" t="s">
        <v>136</v>
      </c>
      <c r="B13" s="132">
        <f t="shared" ref="B13:C19" ca="1" si="5">E4</f>
        <v>-713.7122833093805</v>
      </c>
      <c r="C13" s="132">
        <f t="shared" ca="1" si="5"/>
        <v>143.5608667624781</v>
      </c>
    </row>
    <row r="14" spans="1:9" ht="15.75" customHeight="1" x14ac:dyDescent="0.25">
      <c r="A14" t="s">
        <v>129</v>
      </c>
      <c r="B14" s="132">
        <f t="shared" ca="1" si="5"/>
        <v>-2.9984100000000353</v>
      </c>
      <c r="C14" s="132">
        <f t="shared" ca="1" si="5"/>
        <v>0.2998410000000149</v>
      </c>
    </row>
    <row r="15" spans="1:9" ht="15.75" customHeight="1" x14ac:dyDescent="0.25">
      <c r="A15" t="s">
        <v>130</v>
      </c>
      <c r="B15" s="132">
        <f t="shared" ca="1" si="5"/>
        <v>-399.78800000000001</v>
      </c>
      <c r="C15" s="132">
        <f t="shared" ca="1" si="5"/>
        <v>99.947000000000116</v>
      </c>
    </row>
    <row r="16" spans="1:9" ht="15.75" customHeight="1" x14ac:dyDescent="0.25">
      <c r="A16" t="s">
        <v>137</v>
      </c>
      <c r="B16" s="132">
        <f t="shared" ca="1" si="5"/>
        <v>-866.11639887771094</v>
      </c>
      <c r="C16" s="132">
        <f t="shared" ca="1" si="5"/>
        <v>49.973500000000058</v>
      </c>
    </row>
    <row r="17" spans="1:3" ht="15.75" customHeight="1" x14ac:dyDescent="0.25">
      <c r="A17" t="s">
        <v>132</v>
      </c>
      <c r="B17" s="132">
        <f t="shared" ca="1" si="5"/>
        <v>-427.95456661876096</v>
      </c>
      <c r="C17" s="132">
        <f t="shared" ca="1" si="5"/>
        <v>79.957600000000184</v>
      </c>
    </row>
    <row r="18" spans="1:3" ht="15.75" customHeight="1" x14ac:dyDescent="0.25">
      <c r="A18" t="s">
        <v>138</v>
      </c>
      <c r="B18" s="132">
        <f t="shared" ca="1" si="5"/>
        <v>-319.36663427632561</v>
      </c>
      <c r="C18" s="132">
        <f t="shared" ca="1" si="5"/>
        <v>29.984100000000126</v>
      </c>
    </row>
    <row r="19" spans="1:3" ht="15.75" customHeight="1" x14ac:dyDescent="0.25">
      <c r="A19" t="s">
        <v>139</v>
      </c>
      <c r="B19" s="132">
        <f t="shared" ca="1" si="5"/>
        <v>-333.10205519192129</v>
      </c>
      <c r="C19" s="132">
        <f t="shared" ca="1" si="5"/>
        <v>0</v>
      </c>
    </row>
    <row r="39" spans="1:8" ht="25.5" customHeight="1" x14ac:dyDescent="0.25">
      <c r="A39" s="153" t="s">
        <v>140</v>
      </c>
      <c r="B39" s="153"/>
      <c r="C39" s="153"/>
      <c r="D39" s="153"/>
      <c r="E39" s="153"/>
      <c r="F39" s="153"/>
      <c r="G39" s="153"/>
      <c r="H39" s="153"/>
    </row>
  </sheetData>
  <mergeCells count="4">
    <mergeCell ref="A1:H1"/>
    <mergeCell ref="A2:H2"/>
    <mergeCell ref="A12:H12"/>
    <mergeCell ref="A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 de Sensibilidad</vt:lpstr>
      <vt:lpstr>Monte Carlo</vt:lpstr>
      <vt:lpstr>Tornado — Cisnes Negros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Mauricio (Hijo) Ayala</cp:lastModifiedBy>
  <cp:revision>4</cp:revision>
  <dcterms:created xsi:type="dcterms:W3CDTF">2026-05-11T01:21:26Z</dcterms:created>
  <dcterms:modified xsi:type="dcterms:W3CDTF">2026-05-12T03:45:04Z</dcterms:modified>
  <dc:language>en-US</dc:language>
</cp:coreProperties>
</file>