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iendasmd-my.sharepoint.com/personal/luismayala_md_com_sv/Documents/Downloads/"/>
    </mc:Choice>
  </mc:AlternateContent>
  <xr:revisionPtr revIDLastSave="46" documentId="8_{3EF926AF-F58E-4E90-909C-8EBFFC9DD33D}" xr6:coauthVersionLast="47" xr6:coauthVersionMax="47" xr10:uidLastSave="{65D69FDC-7A6A-478B-B292-8B6118EDB9D6}"/>
  <bookViews>
    <workbookView xWindow="-120" yWindow="-120" windowWidth="29040" windowHeight="15720" tabRatio="500" xr2:uid="{00000000-000D-0000-FFFF-FFFF00000000}"/>
  </bookViews>
  <sheets>
    <sheet name="Matriz de Sensibilidad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1" l="1" a="1"/>
  <c r="L2" i="1" s="1"/>
  <c r="D4" i="1" a="1"/>
  <c r="D4" i="1" s="1"/>
  <c r="K2" i="1" a="1"/>
  <c r="K2" i="1" s="1"/>
  <c r="J2" i="1" a="1"/>
  <c r="J2" i="1" s="1"/>
  <c r="B4" i="1" a="1"/>
  <c r="B4" i="1" s="1"/>
  <c r="B11" i="1" l="1"/>
  <c r="B18" i="1" s="1"/>
  <c r="E8" i="1"/>
  <c r="E15" i="1" s="1"/>
  <c r="F10" i="1"/>
  <c r="F17" i="1" s="1"/>
  <c r="D8" i="1"/>
  <c r="D15" i="1" s="1"/>
  <c r="B10" i="1"/>
  <c r="B17" i="1" s="1"/>
  <c r="F8" i="1"/>
  <c r="F15" i="1" s="1"/>
  <c r="E10" i="1"/>
  <c r="E17" i="1" s="1"/>
  <c r="C8" i="1"/>
  <c r="C15" i="1" s="1"/>
  <c r="F12" i="1"/>
  <c r="F19" i="1" s="1"/>
  <c r="D10" i="1"/>
  <c r="D17" i="1" s="1"/>
  <c r="B8" i="1"/>
  <c r="B15" i="1" s="1"/>
  <c r="E12" i="1"/>
  <c r="E19" i="1" s="1"/>
  <c r="C10" i="1"/>
  <c r="C17" i="1" s="1"/>
  <c r="D12" i="1"/>
  <c r="D19" i="1" s="1"/>
  <c r="C11" i="1"/>
  <c r="C18" i="1" s="1"/>
  <c r="C12" i="1"/>
  <c r="C19" i="1" s="1"/>
  <c r="F9" i="1"/>
  <c r="F16" i="1" s="1"/>
  <c r="D9" i="1"/>
  <c r="D16" i="1" s="1"/>
  <c r="E11" i="1"/>
  <c r="E18" i="1" s="1"/>
  <c r="B12" i="1"/>
  <c r="B19" i="1" s="1"/>
  <c r="E9" i="1"/>
  <c r="E16" i="1" s="1"/>
  <c r="F11" i="1"/>
  <c r="F18" i="1" s="1"/>
  <c r="C9" i="1"/>
  <c r="C16" i="1" s="1"/>
  <c r="D11" i="1"/>
  <c r="D18" i="1" s="1"/>
  <c r="B9" i="1"/>
  <c r="B1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<sst xmlns="http://schemas.openxmlformats.org/spreadsheetml/2006/main" count="70" uniqueCount="59">
  <si>
    <t>🦢  SIMULADOR DE RIESGOS COSTCO — Black Swan Edition</t>
  </si>
  <si>
    <t xml:space="preserve">  ⚙  CONTROLES DE ESCENARIO</t>
  </si>
  <si>
    <t>Riesgo de Mercado (Valuation)</t>
  </si>
  <si>
    <t>Riesgo Macroeconómico</t>
  </si>
  <si>
    <t>Riesgo Operativo / Cisne Negro</t>
  </si>
  <si>
    <t>Precio Actual (COST):</t>
  </si>
  <si>
    <t>P/E Actual:</t>
  </si>
  <si>
    <t>Nota:</t>
  </si>
  <si>
    <t>Modifique celdas azules (B4, D4) para actualizar toda la matriz</t>
  </si>
  <si>
    <t>Fuente: Precio de mercado actual COST</t>
  </si>
  <si>
    <t>Fuente: Consenso Bloomberg / FactSet, May 2026</t>
  </si>
  <si>
    <t>Modificar inputs en celdas azules →</t>
  </si>
  <si>
    <t xml:space="preserve">  📊  MATRIZ DE VALORACIÓN ESTRESADA  —  Fair Value vs Macro</t>
  </si>
  <si>
    <t>Shock de Tasa  \  P/E Objetivo →</t>
  </si>
  <si>
    <t>15x P/E</t>
  </si>
  <si>
    <t>25x P/E</t>
  </si>
  <si>
    <t>35x P/E</t>
  </si>
  <si>
    <t>50x P/E</t>
  </si>
  <si>
    <t>60x P/E</t>
  </si>
  <si>
    <t>+0.0%  (Base)</t>
  </si>
  <si>
    <t>+0.5%</t>
  </si>
  <si>
    <t>+1.0%</t>
  </si>
  <si>
    <t>+2.5%</t>
  </si>
  <si>
    <t>+5.0%  (Pánico 🚨)</t>
  </si>
  <si>
    <t xml:space="preserve">  📈  UPSIDE / DOWNSIDE vs. PRECIO ACTUAL</t>
  </si>
  <si>
    <t>🚨  ALERTA: Si el Fair Value estresado (35x P/E, +2.5% Tasa) implica caída &gt;30%, revisar posición.</t>
  </si>
  <si>
    <t xml:space="preserve">  🦢  GLOSARIO DE CISNES NEGROS  —  Eventos de Cola para COST</t>
  </si>
  <si>
    <t>#</t>
  </si>
  <si>
    <t>Evento</t>
  </si>
  <si>
    <t>Descripción del Riesgo</t>
  </si>
  <si>
    <t>1</t>
  </si>
  <si>
    <t>Disrupción de Membresía</t>
  </si>
  <si>
    <t>El gobierno federal prohíbe o regula el modelo de suscripción tipo club. Las membresías representan ~80% del ingreso operativo; una prohibición eliminaría el moat estructural.</t>
  </si>
  <si>
    <t>2</t>
  </si>
  <si>
    <t>Bloqueo del Pacífico</t>
  </si>
  <si>
    <t>Cierre prolongado del comercio con Asia (tensión geopolítica o pandemia logística). Costco opera con rotación extrema de inventario — los estantes se vaciarían en semanas.</t>
  </si>
  <si>
    <t>3</t>
  </si>
  <si>
    <t>Crisis Kirkland Signature</t>
  </si>
  <si>
    <t>Problema sanitario masivo ligado a la marca propia (contaminación, retiro masivo). Kirkland genera ~$60B en ventas anuales; destruiría la confianza del socio en días.</t>
  </si>
  <si>
    <t>4</t>
  </si>
  <si>
    <t>Compresión de Múltiplos</t>
  </si>
  <si>
    <t>El mercado deja de valorar a Costco como 'tech/crecimiento' (50x P/E actual) y lo reclasifica como retail tradicional (15x P/E). Caída implícita del precio: ~70%.</t>
  </si>
  <si>
    <t>5</t>
  </si>
  <si>
    <t>Entrada Disruptiva de Amazon/Alibaba</t>
  </si>
  <si>
    <t>Un competidor lanza un modelo de membresía con entrega 2-horas a precios iguales. Amenaza directa a la propuesta de valor del viaje físico al almacén.</t>
  </si>
  <si>
    <t xml:space="preserve">  📋  REFERENCIA RÁPIDA — Supuestos del Modelo</t>
  </si>
  <si>
    <t>Sensibilidad de Tipo de Interés</t>
  </si>
  <si>
    <t>Por cada +1% en la tasa Fed, se aplica un factor de compresión del 6% al múltiplo P/E objetivo. Base empírica: correlación histórica tasa-múltiplo en mercados de renta variable (2004-2024).</t>
  </si>
  <si>
    <t>EPS Implícito</t>
  </si>
  <si>
    <t>EPS = Precio Actual / P/E Actual. No se proyectan crecimientos; el modelo es una foto del valor intrínseco bajo distintos escenarios de múltiplo y entorno macro.</t>
  </si>
  <si>
    <t>Columna 15x P/E</t>
  </si>
  <si>
    <t>Representa el escenario de 'reclasificación a retail tradicional' (Cisne Negro #4). Target históricamente usado para valorar Walmart, Target, etc.</t>
  </si>
  <si>
    <t>Columna 50x P/E</t>
  </si>
  <si>
    <t>Equivale al múltiplo actual de mercado. Fair Value = Precio Actual cuando no hay shock de tasa.</t>
  </si>
  <si>
    <t>⚠  Solo con fines educativos / análisis de inversión personal. No constituye asesoramiento financiero. | Fuentes: Precio y P/E: Bloomberg/FactSet May 2026 | Modelo: Tiendas MD Investment Research</t>
  </si>
  <si>
    <t>Precio</t>
  </si>
  <si>
    <t>Ratio P/E</t>
  </si>
  <si>
    <t>Beta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</si>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</sst>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0.0\x"/>
    <numFmt numFmtId="166" formatCode="0.0%;\(0.0%\);\-"/>
    <numFmt numFmtId="167" formatCode="_([$$-409]* #,##0.00_);_([$$-409]* \(#,##0.00\);_([$$-409]* &quot;-&quot;??_);_(@_)"/>
  </numFmts>
  <fonts count="18" x14ac:knownFonts="1">
    <font>
      <sz val="11"/>
      <color theme="1"/>
      <name val="Calibri"/>
      <family val="2"/>
      <charset val="1"/>
    </font>
    <font>
      <b/>
      <sz val="16"/>
      <color rgb="FFE040FB"/>
      <name val="Calibri"/>
      <family val="2"/>
    </font>
    <font>
      <b/>
      <sz val="12"/>
      <color rgb="FFE040FB"/>
      <name val="Calibri"/>
      <family val="2"/>
    </font>
    <font>
      <b/>
      <sz val="10"/>
      <color rgb="FFFFFFFF"/>
      <name val="Calibri"/>
      <family val="2"/>
    </font>
    <font>
      <b/>
      <sz val="10"/>
      <color rgb="FFEEEEEE"/>
      <name val="Calibri"/>
      <family val="2"/>
    </font>
    <font>
      <b/>
      <sz val="12"/>
      <color rgb="FF64B5F6"/>
      <name val="Calibri"/>
      <family val="2"/>
    </font>
    <font>
      <b/>
      <sz val="9"/>
      <color rgb="FFEEEEEE"/>
      <name val="Calibri"/>
      <family val="2"/>
    </font>
    <font>
      <i/>
      <sz val="9"/>
      <color rgb="FFFFD54F"/>
      <name val="Calibri"/>
      <family val="2"/>
    </font>
    <font>
      <i/>
      <sz val="8"/>
      <color rgb="FF9E9E9E"/>
      <name val="Calibri"/>
      <family val="2"/>
    </font>
    <font>
      <b/>
      <sz val="11"/>
      <color rgb="FFFFFFFF"/>
      <name val="Calibri"/>
      <family val="2"/>
    </font>
    <font>
      <sz val="10"/>
      <color rgb="FFFFFFFF"/>
      <name val="Calibri"/>
      <family val="2"/>
    </font>
    <font>
      <b/>
      <sz val="10"/>
      <color rgb="FFFF8A80"/>
      <name val="Calibri"/>
      <family val="2"/>
    </font>
    <font>
      <b/>
      <sz val="10"/>
      <color rgb="FFFFD54F"/>
      <name val="Calibri"/>
      <family val="2"/>
    </font>
    <font>
      <b/>
      <sz val="12"/>
      <color rgb="FFFFD54F"/>
      <name val="Calibri"/>
      <family val="2"/>
    </font>
    <font>
      <b/>
      <sz val="10"/>
      <color rgb="FFFF8A65"/>
      <name val="Calibri"/>
      <family val="2"/>
    </font>
    <font>
      <sz val="9"/>
      <color rgb="FFEEEEEE"/>
      <name val="Calibri"/>
      <family val="2"/>
    </font>
    <font>
      <b/>
      <sz val="10"/>
      <color rgb="FF80CBC4"/>
      <name val="Calibri"/>
      <family val="2"/>
    </font>
    <font>
      <i/>
      <sz val="8"/>
      <color rgb="FF757575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E1E2E"/>
        <bgColor rgb="FF1A1A2E"/>
      </patternFill>
    </fill>
    <fill>
      <patternFill patternType="solid">
        <fgColor rgb="FF2D2D44"/>
        <bgColor rgb="FF303050"/>
      </patternFill>
    </fill>
    <fill>
      <patternFill patternType="solid">
        <fgColor rgb="FF1565C0"/>
        <bgColor rgb="FF3F51B5"/>
      </patternFill>
    </fill>
    <fill>
      <patternFill patternType="solid">
        <fgColor rgb="FF558B2F"/>
        <bgColor rgb="FF2E7D32"/>
      </patternFill>
    </fill>
    <fill>
      <patternFill patternType="solid">
        <fgColor rgb="FF6A1515"/>
        <bgColor rgb="FF800000"/>
      </patternFill>
    </fill>
    <fill>
      <patternFill patternType="solid">
        <fgColor rgb="FF303050"/>
        <bgColor rgb="FF2D2D44"/>
      </patternFill>
    </fill>
    <fill>
      <patternFill patternType="solid">
        <fgColor rgb="FFEF5350"/>
        <bgColor rgb="FFFF7043"/>
      </patternFill>
    </fill>
    <fill>
      <patternFill patternType="solid">
        <fgColor rgb="FFFF7043"/>
        <bgColor rgb="FFF57F17"/>
      </patternFill>
    </fill>
    <fill>
      <patternFill patternType="solid">
        <fgColor rgb="FFFFA726"/>
        <bgColor rgb="FFFF8A65"/>
      </patternFill>
    </fill>
    <fill>
      <patternFill patternType="solid">
        <fgColor rgb="FF66BB6A"/>
        <bgColor rgb="FF80CBC4"/>
      </patternFill>
    </fill>
    <fill>
      <patternFill patternType="solid">
        <fgColor rgb="FF26A69A"/>
        <bgColor rgb="FF008080"/>
      </patternFill>
    </fill>
    <fill>
      <patternFill patternType="solid">
        <fgColor rgb="FF1B5E20"/>
        <bgColor rgb="FF2E7D32"/>
      </patternFill>
    </fill>
    <fill>
      <patternFill patternType="solid">
        <fgColor rgb="FF2E7D32"/>
        <bgColor rgb="FF558B2F"/>
      </patternFill>
    </fill>
    <fill>
      <patternFill patternType="solid">
        <fgColor rgb="FFF57F17"/>
        <bgColor rgb="FFFF7043"/>
      </patternFill>
    </fill>
    <fill>
      <patternFill patternType="solid">
        <fgColor rgb="FFB71C1C"/>
        <bgColor rgb="FF800000"/>
      </patternFill>
    </fill>
    <fill>
      <patternFill patternType="solid">
        <fgColor rgb="FF1A237E"/>
        <bgColor rgb="FF283593"/>
      </patternFill>
    </fill>
    <fill>
      <patternFill patternType="solid">
        <fgColor rgb="FF283593"/>
        <bgColor rgb="FF303F9F"/>
      </patternFill>
    </fill>
    <fill>
      <patternFill patternType="solid">
        <fgColor rgb="FF303F9F"/>
        <bgColor rgb="FF283593"/>
      </patternFill>
    </fill>
    <fill>
      <patternFill patternType="solid">
        <fgColor rgb="FF3949AB"/>
        <bgColor rgb="FF3F51B5"/>
      </patternFill>
    </fill>
    <fill>
      <patternFill patternType="solid">
        <fgColor rgb="FF3F51B5"/>
        <bgColor rgb="FF3949AB"/>
      </patternFill>
    </fill>
    <fill>
      <patternFill patternType="solid">
        <fgColor rgb="FF212121"/>
        <bgColor rgb="FF1E1E2E"/>
      </patternFill>
    </fill>
    <fill>
      <patternFill patternType="solid">
        <fgColor rgb="FF1A1A2E"/>
        <bgColor rgb="FF1E1E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2" fillId="7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3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64" fontId="9" fillId="13" borderId="0" xfId="0" applyNumberFormat="1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164" fontId="9" fillId="14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164" fontId="9" fillId="5" borderId="0" xfId="0" applyNumberFormat="1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164" fontId="9" fillId="15" borderId="0" xfId="0" applyNumberFormat="1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164" fontId="9" fillId="16" borderId="0" xfId="0" applyNumberFormat="1" applyFont="1" applyFill="1" applyAlignment="1">
      <alignment horizontal="center" vertical="center"/>
    </xf>
    <xf numFmtId="166" fontId="9" fillId="13" borderId="0" xfId="0" applyNumberFormat="1" applyFont="1" applyFill="1" applyAlignment="1">
      <alignment horizontal="center" vertical="center"/>
    </xf>
    <xf numFmtId="166" fontId="9" fillId="14" borderId="0" xfId="0" applyNumberFormat="1" applyFont="1" applyFill="1" applyAlignment="1">
      <alignment horizontal="center" vertical="center"/>
    </xf>
    <xf numFmtId="166" fontId="9" fillId="5" borderId="0" xfId="0" applyNumberFormat="1" applyFont="1" applyFill="1" applyAlignment="1">
      <alignment horizontal="center" vertical="center"/>
    </xf>
    <xf numFmtId="166" fontId="9" fillId="15" borderId="0" xfId="0" applyNumberFormat="1" applyFont="1" applyFill="1" applyAlignment="1">
      <alignment horizontal="center" vertical="center"/>
    </xf>
    <xf numFmtId="166" fontId="9" fillId="16" borderId="0" xfId="0" applyNumberFormat="1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4" fillId="17" borderId="0" xfId="0" applyFont="1" applyFill="1" applyAlignment="1">
      <alignment horizontal="left" vertical="center"/>
    </xf>
    <xf numFmtId="0" fontId="13" fillId="18" borderId="0" xfId="0" applyFont="1" applyFill="1" applyAlignment="1">
      <alignment horizontal="center" vertical="center"/>
    </xf>
    <xf numFmtId="0" fontId="14" fillId="18" borderId="0" xfId="0" applyFont="1" applyFill="1" applyAlignment="1">
      <alignment horizontal="left" vertical="center"/>
    </xf>
    <xf numFmtId="0" fontId="13" fillId="19" borderId="0" xfId="0" applyFont="1" applyFill="1" applyAlignment="1">
      <alignment horizontal="center" vertical="center"/>
    </xf>
    <xf numFmtId="0" fontId="14" fillId="19" borderId="0" xfId="0" applyFont="1" applyFill="1" applyAlignment="1">
      <alignment horizontal="left" vertical="center"/>
    </xf>
    <xf numFmtId="0" fontId="13" fillId="20" borderId="0" xfId="0" applyFont="1" applyFill="1" applyAlignment="1">
      <alignment horizontal="center" vertical="center"/>
    </xf>
    <xf numFmtId="0" fontId="14" fillId="20" borderId="0" xfId="0" applyFont="1" applyFill="1" applyAlignment="1">
      <alignment horizontal="left" vertical="center"/>
    </xf>
    <xf numFmtId="0" fontId="13" fillId="21" borderId="0" xfId="0" applyFont="1" applyFill="1" applyAlignment="1">
      <alignment horizontal="center" vertical="center"/>
    </xf>
    <xf numFmtId="0" fontId="14" fillId="21" borderId="0" xfId="0" applyFont="1" applyFill="1" applyAlignment="1">
      <alignment horizontal="left" vertical="center"/>
    </xf>
    <xf numFmtId="0" fontId="16" fillId="22" borderId="0" xfId="0" applyFont="1" applyFill="1" applyAlignment="1">
      <alignment horizontal="left" vertical="center" wrapText="1"/>
    </xf>
    <xf numFmtId="0" fontId="16" fillId="23" borderId="0" xfId="0" applyFont="1" applyFill="1" applyAlignment="1">
      <alignment horizontal="left" vertical="center" wrapText="1"/>
    </xf>
    <xf numFmtId="167" fontId="0" fillId="0" borderId="0" xfId="0" applyNumberFormat="1"/>
    <xf numFmtId="4" fontId="0" fillId="0" borderId="0" xfId="0" applyNumberForma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left" vertical="center"/>
    </xf>
    <xf numFmtId="0" fontId="11" fillId="16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/>
    </xf>
    <xf numFmtId="0" fontId="15" fillId="17" borderId="0" xfId="0" applyFont="1" applyFill="1" applyAlignment="1">
      <alignment horizontal="left" vertical="center" wrapText="1"/>
    </xf>
    <xf numFmtId="0" fontId="15" fillId="18" borderId="0" xfId="0" applyFont="1" applyFill="1" applyAlignment="1">
      <alignment horizontal="left" vertical="center" wrapText="1"/>
    </xf>
    <xf numFmtId="0" fontId="15" fillId="19" borderId="0" xfId="0" applyFont="1" applyFill="1" applyAlignment="1">
      <alignment horizontal="left" vertical="center" wrapText="1"/>
    </xf>
    <xf numFmtId="0" fontId="15" fillId="20" borderId="0" xfId="0" applyFont="1" applyFill="1" applyAlignment="1">
      <alignment horizontal="left" vertical="center" wrapText="1"/>
    </xf>
    <xf numFmtId="0" fontId="15" fillId="21" borderId="0" xfId="0" applyFont="1" applyFill="1" applyAlignment="1">
      <alignment horizontal="left" vertical="center" wrapText="1"/>
    </xf>
    <xf numFmtId="0" fontId="15" fillId="22" borderId="0" xfId="0" applyFont="1" applyFill="1" applyAlignment="1">
      <alignment horizontal="left" vertical="center" wrapText="1"/>
    </xf>
    <xf numFmtId="0" fontId="15" fillId="23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3">
    <dxf>
      <numFmt numFmtId="4" formatCode="#,##0.00"/>
    </dxf>
    <dxf>
      <numFmt numFmtId="4" formatCode="#,##0.00"/>
    </dxf>
    <dxf>
      <numFmt numFmtId="167" formatCode="_([$$-409]* #,##0.00_);_([$$-409]* \(#,##0.00\);_([$$-409]* &quot;-&quot;??_);_(@_)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040FB"/>
      <rgbColor rgb="FF00FFFF"/>
      <rgbColor rgb="FF6A1515"/>
      <rgbColor rgb="FF2E7D32"/>
      <rgbColor rgb="FF1A1A2E"/>
      <rgbColor rgb="FF558B2F"/>
      <rgbColor rgb="FF800080"/>
      <rgbColor rgb="FF1B5E20"/>
      <rgbColor rgb="FFC0C0C0"/>
      <rgbColor rgb="FF757575"/>
      <rgbColor rgb="FF9999FF"/>
      <rgbColor rgb="FFEF5350"/>
      <rgbColor rgb="FFEEEEEE"/>
      <rgbColor rgb="FFCCFFFF"/>
      <rgbColor rgb="FF303050"/>
      <rgbColor rgb="FFFF8A80"/>
      <rgbColor rgb="FF1565C0"/>
      <rgbColor rgb="FFCCCCFF"/>
      <rgbColor rgb="FF303F9F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0CBC4"/>
      <rgbColor rgb="FFFF8A65"/>
      <rgbColor rgb="FFCC99FF"/>
      <rgbColor rgb="FFFFD54F"/>
      <rgbColor rgb="FF3949AB"/>
      <rgbColor rgb="FF64B5F6"/>
      <rgbColor rgb="FF66BB6A"/>
      <rgbColor rgb="FFFFCC00"/>
      <rgbColor rgb="FFFFA726"/>
      <rgbColor rgb="FFF57F17"/>
      <rgbColor rgb="FF3F51B5"/>
      <rgbColor rgb="FF9E9E9E"/>
      <rgbColor rgb="FF1A237E"/>
      <rgbColor rgb="FF26A69A"/>
      <rgbColor rgb="FF1E1E2E"/>
      <rgbColor rgb="FF212121"/>
      <rgbColor rgb="FFB71C1C"/>
      <rgbColor rgb="FFFF7043"/>
      <rgbColor rgb="FF283593"/>
      <rgbColor rgb="FF2D2D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3">
  <rv s="0">
    <v>https://www.bing.com/financeapi/forcetrigger?t=a1q6k2&amp;q=XNAS%3aCOST&amp;form=skydnc</v>
    <v>Learn more on Bing</v>
  </rv>
  <rv s="1">
    <v>es-ES</v>
    <v>a1q6k2</v>
    <v>268435456</v>
    <v>1</v>
    <v>Con tecnología de Refinitiv</v>
    <v>0</v>
    <v>1</v>
    <v>COSTCO WHOLESALE CORPORATION (XNAS:COST)</v>
    <v>3</v>
    <v>4</v>
    <v>Finance</v>
    <v>5</v>
    <v>XNAS</v>
    <v>443652500</v>
    <v>1987</v>
    <v>1005.82</v>
    <v>0.90939999999999999</v>
    <v>-10.955</v>
    <v>-1.0860000000000002E-2</v>
    <v>442691992337</v>
    <v>1008.79</v>
    <v>Costco Wholesale Corporation (Costco) opera almacenes de membresía y sitios de comercio electrónico que ofrecen una selección de productos de marca nacional y de marca privada en una amplia gama de categorías. La Compañía compra la mayoría de sus mercancías directamente a los proveedores y la dirige a puntos de consolidación de cross-docking (depósitos) o directamente a sus almacenes. Opera 891 almacenes, incluyendo 614 en los Estados Unidos y Puerto Rico, 108 en Canadá, 40 en México, 35 en Japón, 29 en el Reino Unido, 19 en Corea, 15 en Australia, 14 en Taiwán, siete en China, y más. cinco en España, dos en Francia, y uno en Islandia, Nueva Zelanda y Suecia. También opera sitios de comercio electrónico en los Estados Unidos, Canadá, el Reino Unido, México, Corea, Taiwán, Japón y Australia. La Compañía ofrece una amplia selección de mercancías, además de la conveniencia de departamentos especializados y servicios exclusivos para miembros.</v>
    <v>341000</v>
    <v>XNAS</v>
    <v>46153.627683113278</v>
    <v>Nasdaq Stock Market</v>
    <v>0</v>
    <v>1007</v>
    <v>1067.08</v>
    <v>995.02</v>
    <v>844.06</v>
    <v>USD</v>
    <v>COSTCO WHOLESALE CORPORATION</v>
    <v>COSTCO WHOLESALE CORPORATION</v>
    <v>51.894399999999997</v>
    <v>997.83500000000004</v>
    <v>Diversified Retail</v>
    <v>999 Lake Dr, ISSAQUAH, WA, 98027- US</v>
    <v>COST</v>
    <v>Acciones</v>
    <v>COSTCO WHOLESALE CORPORATION (XNAS:COST)</v>
    <v>406806</v>
    <v>1785965</v>
  </rv>
  <rv s="2">
    <v>1</v>
  </rv>
</rvData>
</file>

<file path=xl/richData/rdrichvaluestructure.xml><?xml version="1.0" encoding="utf-8"?>
<rvStructures xmlns="http://schemas.microsoft.com/office/spreadsheetml/2017/richdata" count="3">
  <s t="_hyperlink">
    <k n="Address" t="s"/>
    <k n="Text" t="s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Abreviatura de intercambio" t="s"/>
    <k n="Acciones en circulación"/>
    <k n="Año de constitución"/>
    <k n="Apertura"/>
    <k n="Beta"/>
    <k n="Cambio"/>
    <k n="Cambio (%)"/>
    <k n="Capitalización de mercado"/>
    <k n="Cierre anterior"/>
    <k n="Descripción" t="s"/>
    <k n="Empleados"/>
    <k n="ExchangeID" t="s"/>
    <k n="Hora de la última operación"/>
    <k n="Intercambio" t="s"/>
    <k n="LearnMoreOnLink" t="r"/>
    <k n="Máximo"/>
    <k n="Máximo en 52 semanas"/>
    <k n="Mínimo"/>
    <k n="Mínimo en 52 semanas"/>
    <k n="Moneda" t="s"/>
    <k n="Nombre" t="s"/>
    <k n="Nombre oficial" t="s"/>
    <k n="P/I"/>
    <k n="Precio"/>
    <k n="Sector" t="s"/>
    <k n="Sede central" t="s"/>
    <k n="Símbolo bursátil" t="s"/>
    <k n="Tipo de instrumento" t="s"/>
    <k n="UniqueName" t="s"/>
    <k n="Volumen"/>
    <k n="Volumen promedio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43">
      <v t="s">%EntityServiceId</v>
      <v t="s">_Format</v>
      <v t="s">%IsRefreshable</v>
      <v t="s">_CanonicalPropertyNames</v>
      <v t="s">%EntityCulture</v>
      <v t="s">%EntityId</v>
      <v t="s">_Icon</v>
      <v t="s">_Display</v>
      <v t="s">Nombre</v>
      <v t="s">_SubLabel</v>
      <v t="s">Precio</v>
      <v t="s">Intercambio</v>
      <v t="s">Nombre oficial</v>
      <v t="s">Hora de la última operación</v>
      <v t="s">Símbolo bursátil</v>
      <v t="s">Abreviatura de intercambio</v>
      <v t="s">Cambio</v>
      <v t="s">Cambio (%)</v>
      <v t="s">Moneda</v>
      <v t="s">Cierre anterior</v>
      <v t="s">Apertura</v>
      <v t="s">Máximo</v>
      <v t="s">Mínimo</v>
      <v t="s">Máximo en 52 semanas</v>
      <v t="s">Mínimo en 52 semanas</v>
      <v t="s">Volumen</v>
      <v t="s">Volumen promedio</v>
      <v t="s">Capitalización de mercado</v>
      <v t="s">Beta</v>
      <v t="s">P/I</v>
      <v t="s">Acciones en circulación</v>
      <v t="s">Descripción</v>
      <v t="s">Empleados</v>
      <v t="s">Sede central</v>
      <v t="s">Sector</v>
      <v t="s">Tipo de instrumento</v>
      <v t="s">Año de constitución</v>
      <v t="s">_Flags</v>
      <v t="s">UniqueName</v>
      <v t="s">_DisplayString</v>
      <v t="s">LearnMoreOnLink</v>
      <v t="s">ExchangeID</v>
      <v t="s">%ProviderInfo</v>
    </a>
  </spbArrays>
  <spbData count="6">
    <spb s="0">
      <v>P/E</v>
      <v>Beta</v>
      <v>Change</v>
      <v>Currency</v>
      <v>High</v>
      <v>Low</v>
      <v>Name</v>
      <v>Price</v>
      <v>Industry</v>
      <v>Volume</v>
      <v>Open</v>
      <v>Employees</v>
      <v>Change (%)</v>
      <v>ExchangeID</v>
      <v>UniqueName</v>
      <v>Description</v>
      <v>Exchange</v>
      <v>Headquarters</v>
      <v>%ProviderInfo</v>
      <v>Official name</v>
      <v>Previous close</v>
      <v>LearnMoreOnLink</v>
      <v>Ticker symbol</v>
      <v>Volume average</v>
      <v>Year incorporated</v>
      <v>Instrument type</v>
      <v>52 week high</v>
      <v>52 week low</v>
      <v>Shares outstanding</v>
      <v>Market cap</v>
      <v>Exchange abbreviation</v>
      <v>Last trade time</v>
    </spb>
    <spb s="1">
      <v>0</v>
      <v>Name</v>
      <v>LearnMoreOnLink</v>
    </spb>
    <spb s="2">
      <v>0</v>
      <v>0</v>
      <v>0</v>
    </spb>
    <spb s="3">
      <v>2</v>
      <v>2</v>
      <v>2</v>
      <v>2</v>
    </spb>
    <spb s="4">
      <v>1</v>
      <v>1</v>
      <v>2</v>
      <v>2</v>
      <v>2</v>
      <v>3</v>
      <v>2</v>
      <v>4</v>
      <v>2</v>
      <v>4</v>
      <v>5</v>
      <v>2</v>
      <v>4</v>
      <v>6</v>
      <v>7</v>
      <v>2</v>
      <v>2</v>
      <v>4</v>
      <v>8</v>
      <v>9</v>
    </spb>
    <spb s="5">
      <v xml:space="preserve">desde el cierre anterior </v>
      <v>Tiempo real Nasdaq Última venta</v>
      <v xml:space="preserve">desde el cierre anterior </v>
      <v>Origen: Nasdaq Última venta</v>
      <v>GMT</v>
    </spb>
  </spbData>
</supportingPropertyBags>
</file>

<file path=xl/richData/rdsupportingpropertybagstructure.xml><?xml version="1.0" encoding="utf-8"?>
<spbStructures xmlns="http://schemas.microsoft.com/office/spreadsheetml/2017/richdata2" count="6">
  <s>
    <k n="P/I" t="s"/>
    <k n="Beta" t="s"/>
    <k n="Cambio" t="s"/>
    <k n="Moneda" t="s"/>
    <k n="Máximo" t="s"/>
    <k n="Mínimo" t="s"/>
    <k n="Nombre" t="s"/>
    <k n="Precio" t="s"/>
    <k n="Sector" t="s"/>
    <k n="Volumen" t="s"/>
    <k n="Apertura" t="s"/>
    <k n="Empleados" t="s"/>
    <k n="Cambio (%)" t="s"/>
    <k n="ExchangeID" t="s"/>
    <k n="UniqueName" t="s"/>
    <k n="Descripción" t="s"/>
    <k n="Intercambio" t="s"/>
    <k n="Sede central" t="s"/>
    <k n="%ProviderInfo" t="s"/>
    <k n="Nombre oficial" t="s"/>
    <k n="Cierre anterior" t="s"/>
    <k n="LearnMoreOnLink" t="s"/>
    <k n="Símbolo bursátil" t="s"/>
    <k n="Volumen promedio" t="s"/>
    <k n="Año de constitución" t="s"/>
    <k n="Tipo de instrumento" t="s"/>
    <k n="Máximo en 52 semanas" t="s"/>
    <k n="Mínimo en 52 semanas" t="s"/>
    <k n="Acciones en circulación" t="s"/>
    <k n="Capitalización de mercado" t="s"/>
    <k n="Abreviatura de intercambio" t="s"/>
    <k n="Hora de la última operación" t="s"/>
  </s>
  <s>
    <k n="^Order" t="spba"/>
    <k n="TitleProperty" t="s"/>
    <k n="SubTitleProperty" t="s"/>
  </s>
  <s>
    <k n="ShowInCardView" t="b"/>
    <k n="ShowInDotNotation" t="b"/>
    <k n="ShowInAutoComplete" t="b"/>
  </s>
  <s>
    <k n="ExchangeID" t="spb"/>
    <k n="UniqueName" t="spb"/>
    <k n="`%ProviderInfo" t="spb"/>
    <k n="LearnMoreOnLink" t="spb"/>
  </s>
  <s>
    <k n="P/I" t="i"/>
    <k n="Beta" t="i"/>
    <k n="Cambio" t="i"/>
    <k n="Máximo" t="i"/>
    <k n="Mínimo" t="i"/>
    <k n="Nombre" t="i"/>
    <k n="Precio" t="i"/>
    <k n="Volumen" t="i"/>
    <k n="Apertura" t="i"/>
    <k n="Empleados" t="i"/>
    <k n="Cambio (%)" t="i"/>
    <k n="Cierre anterior" t="i"/>
    <k n="Volumen promedio" t="i"/>
    <k n="`%EntityServiceId" t="i"/>
    <k n="Año de constitución" t="i"/>
    <k n="Máximo en 52 semanas" t="i"/>
    <k n="Mínimo en 52 semanas" t="i"/>
    <k n="Acciones en circulación" t="i"/>
    <k n="Capitalización de mercado" t="i"/>
    <k n="Hora de la última operación" t="i"/>
  </s>
  <s>
    <k n="Cambio" t="s"/>
    <k n="Precio" t="s"/>
    <k n="Cambio (%)" t="s"/>
    <k n="ExchangeID" t="s"/>
    <k n="Hora de la última operación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7">
    <x:dxf>
      <x:numFmt numFmtId="2" formatCode="0.00"/>
    </x:dxf>
    <x:dxf>
      <x:numFmt numFmtId="0" formatCode="General"/>
    </x:dxf>
    <x:dxf>
      <x:numFmt numFmtId="3" formatCode="#,##0"/>
    </x:dxf>
    <x:dxf>
      <x:numFmt numFmtId="4" formatCode="#,##0.00"/>
    </x:dxf>
    <x:dxf>
      <x:numFmt numFmtId="1" formatCode="0"/>
    </x:dxf>
    <x:dxf>
      <x:numFmt numFmtId="27" formatCode="d/m/yyyy\ hh:mm"/>
    </x:dxf>
    <x:dxf>
      <x:numFmt numFmtId="14" formatCode="0.00%"/>
    </x:dxf>
  </dxfs>
  <richProperties>
    <rPr n="NumberFormat" t="s"/>
    <rPr n="IsTitleField" t="b"/>
  </richProperties>
  <richStyles>
    <rSty dxfid="3">
      <rpv i="0">#,##0.00</rpv>
    </rSty>
    <rSty dxfid="1">
      <rpv i="0">_([$$-en-US]* #,##0.00_);_([$$-en-US]* (#,##0.00);_([$$-en-US]* "-"??_);_(@_)</rpv>
    </rSty>
    <rSty>
      <rpv i="1">1</rpv>
    </rSty>
    <rSty dxfid="2">
      <rpv i="0">#,##0</rpv>
    </rSty>
    <rSty dxfid="6"/>
    <rSty dxfid="0">
      <rpv i="0">0.00</rpv>
    </rSty>
    <rSty dxfid="4">
      <rpv i="0">0</rpv>
    </rSty>
    <rSty dxfid="1">
      <rpv i="0">_([$$-en-US]* #,##0_);_([$$-en-US]* (#,##0);_([$$-en-US]* "-"_);_(@_)</rpv>
    </rSty>
    <rSty dxfid="5"/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1CF455-7585-495E-B04D-017157B7198B}" name="Tabla1" displayName="Tabla1" ref="I1:L2" totalsRowShown="0">
  <autoFilter ref="I1:L2" xr:uid="{661CF455-7585-495E-B04D-017157B7198B}"/>
  <tableColumns count="4">
    <tableColumn id="1" xr3:uid="{452D659F-4C30-42A4-B9D7-75945FF3B957}" name="TICKER"/>
    <tableColumn id="2" xr3:uid="{2018FA51-AED9-4715-B0CA-6FB8CEF08F1C}" name="Precio" dataDxfId="2">
      <calculatedColumnFormula array="1">_FV(I2,"Precio")</calculatedColumnFormula>
    </tableColumn>
    <tableColumn id="3" xr3:uid="{53577388-E59D-46A4-B07B-7596EA3D4FFE}" name="Ratio P/E" dataDxfId="1">
      <calculatedColumnFormula array="1">_FV(I2,"P/I",TRUE)</calculatedColumnFormula>
    </tableColumn>
    <tableColumn id="4" xr3:uid="{EDEDB454-D1B3-44E3-BDDD-E932B34E1477}" name="Beta" dataDxfId="0">
      <calculatedColumnFormula array="1">_FV(I2,"Beta")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040FB"/>
    <pageSetUpPr fitToPage="1"/>
  </sheetPr>
  <dimension ref="A1:L54"/>
  <sheetViews>
    <sheetView showGridLines="0" tabSelected="1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I29" sqref="I29"/>
    </sheetView>
  </sheetViews>
  <sheetFormatPr baseColWidth="10" defaultColWidth="8.7109375" defaultRowHeight="15" x14ac:dyDescent="0.25"/>
  <cols>
    <col min="1" max="1" width="30" customWidth="1"/>
    <col min="2" max="3" width="16" customWidth="1"/>
    <col min="4" max="4" width="7.5703125" bestFit="1" customWidth="1"/>
    <col min="5" max="6" width="16" customWidth="1"/>
    <col min="7" max="7" width="30" customWidth="1"/>
    <col min="9" max="9" width="47.7109375" bestFit="1" customWidth="1"/>
    <col min="11" max="11" width="11.140625" customWidth="1"/>
  </cols>
  <sheetData>
    <row r="1" spans="1:12" ht="36" customHeight="1" x14ac:dyDescent="0.25">
      <c r="A1" s="41" t="s">
        <v>0</v>
      </c>
      <c r="B1" s="41"/>
      <c r="C1" s="41"/>
      <c r="D1" s="41"/>
      <c r="E1" s="41"/>
      <c r="F1" s="41"/>
      <c r="G1" s="41"/>
      <c r="I1" t="s">
        <v>58</v>
      </c>
      <c r="J1" t="s">
        <v>55</v>
      </c>
      <c r="K1" t="s">
        <v>56</v>
      </c>
      <c r="L1" t="s">
        <v>57</v>
      </c>
    </row>
    <row r="2" spans="1:12" ht="21.75" customHeight="1" x14ac:dyDescent="0.25">
      <c r="A2" s="42" t="s">
        <v>1</v>
      </c>
      <c r="B2" s="42"/>
      <c r="C2" s="42"/>
      <c r="D2" s="42"/>
      <c r="E2" s="42"/>
      <c r="F2" s="42"/>
      <c r="G2" s="42"/>
      <c r="I2" t="e" vm="1">
        <v>#VALUE!</v>
      </c>
      <c r="J2" s="39" cm="1">
        <f t="array" aca="1" ref="J2" ca="1">_FV(I2,"Precio")</f>
        <v>997.83500000000004</v>
      </c>
      <c r="K2" s="40" cm="1">
        <f t="array" aca="1" ref="K2" ca="1">_FV(I2,"P/I",TRUE)</f>
        <v>51.894399999999997</v>
      </c>
      <c r="L2" s="40" cm="1">
        <f t="array" aca="1" ref="L2" ca="1">_FV(I2,"Beta")</f>
        <v>0.90939999999999999</v>
      </c>
    </row>
    <row r="3" spans="1:12" ht="21.75" customHeight="1" x14ac:dyDescent="0.25">
      <c r="A3" s="43" t="s">
        <v>2</v>
      </c>
      <c r="B3" s="43"/>
      <c r="C3" s="44" t="s">
        <v>3</v>
      </c>
      <c r="D3" s="44"/>
      <c r="E3" s="45" t="s">
        <v>4</v>
      </c>
      <c r="F3" s="45"/>
      <c r="G3" s="45"/>
    </row>
    <row r="4" spans="1:12" ht="27.75" customHeight="1" x14ac:dyDescent="0.25">
      <c r="A4" s="2" t="s">
        <v>5</v>
      </c>
      <c r="B4" s="3" cm="1">
        <f t="array" aca="1" ref="B4" ca="1">_FV(I2,"Precio")</f>
        <v>997.83500000000004</v>
      </c>
      <c r="C4" s="2" t="s">
        <v>6</v>
      </c>
      <c r="D4" s="4" cm="1">
        <f t="array" aca="1" ref="D4" ca="1">_FV(I2,"P/I",TRUE)</f>
        <v>51.894399999999997</v>
      </c>
      <c r="E4" s="5" t="s">
        <v>7</v>
      </c>
      <c r="F4" s="46" t="s">
        <v>8</v>
      </c>
      <c r="G4" s="46"/>
    </row>
    <row r="5" spans="1:12" ht="21.75" customHeight="1" x14ac:dyDescent="0.25">
      <c r="A5" s="47" t="s">
        <v>9</v>
      </c>
      <c r="B5" s="47"/>
      <c r="C5" s="47" t="s">
        <v>10</v>
      </c>
      <c r="D5" s="47"/>
      <c r="E5" s="47" t="s">
        <v>11</v>
      </c>
      <c r="F5" s="47"/>
      <c r="G5" s="47"/>
    </row>
    <row r="6" spans="1:12" ht="27.75" customHeight="1" x14ac:dyDescent="0.25">
      <c r="A6" s="42" t="s">
        <v>12</v>
      </c>
      <c r="B6" s="42"/>
      <c r="C6" s="42"/>
      <c r="D6" s="42"/>
      <c r="E6" s="42"/>
      <c r="F6" s="42"/>
      <c r="G6" s="42"/>
    </row>
    <row r="7" spans="1:12" ht="31.5" customHeight="1" x14ac:dyDescent="0.25">
      <c r="A7" s="6" t="s">
        <v>13</v>
      </c>
      <c r="B7" s="7" t="s">
        <v>14</v>
      </c>
      <c r="C7" s="8" t="s">
        <v>15</v>
      </c>
      <c r="D7" s="9" t="s">
        <v>16</v>
      </c>
      <c r="E7" s="10" t="s">
        <v>17</v>
      </c>
      <c r="F7" s="11" t="s">
        <v>18</v>
      </c>
    </row>
    <row r="8" spans="1:12" ht="24" customHeight="1" x14ac:dyDescent="0.25">
      <c r="A8" s="12" t="s">
        <v>19</v>
      </c>
      <c r="B8" s="13">
        <f ca="1">($B$4/$D$4)*15*(1-0*0.06)</f>
        <v>288.42273925510273</v>
      </c>
      <c r="C8" s="13">
        <f ca="1">($B$4/$D$4)*25*(1-0*0.06)</f>
        <v>480.70456542517121</v>
      </c>
      <c r="D8" s="13">
        <f ca="1">($B$4/$D$4)*35*(1-0*0.06)</f>
        <v>672.98639159523964</v>
      </c>
      <c r="E8" s="13">
        <f ca="1">($B$4/$D$4)*50*(1-0*0.06)</f>
        <v>961.40913085034242</v>
      </c>
      <c r="F8" s="13">
        <f ca="1">($B$4/$D$4)*60*(1-0*0.06)</f>
        <v>1153.6909570204109</v>
      </c>
    </row>
    <row r="9" spans="1:12" ht="24" customHeight="1" x14ac:dyDescent="0.25">
      <c r="A9" s="14" t="s">
        <v>20</v>
      </c>
      <c r="B9" s="15">
        <f ca="1">($B$4/$D$4)*15*(1-0.005*0.06)</f>
        <v>288.33621243332618</v>
      </c>
      <c r="C9" s="15">
        <f ca="1">($B$4/$D$4)*25*(1-0.005*0.06)</f>
        <v>480.56035405554366</v>
      </c>
      <c r="D9" s="15">
        <f ca="1">($B$4/$D$4)*35*(1-0.005*0.06)</f>
        <v>672.78449567776113</v>
      </c>
      <c r="E9" s="15">
        <f ca="1">($B$4/$D$4)*50*(1-0.005*0.06)</f>
        <v>961.12070811108731</v>
      </c>
      <c r="F9" s="15">
        <f ca="1">($B$4/$D$4)*60*(1-0.005*0.06)</f>
        <v>1153.3448497333047</v>
      </c>
    </row>
    <row r="10" spans="1:12" ht="24" customHeight="1" x14ac:dyDescent="0.25">
      <c r="A10" s="16" t="s">
        <v>21</v>
      </c>
      <c r="B10" s="17">
        <f ca="1">($B$4/$D$4)*15*(1-0.01*0.06)</f>
        <v>288.24968561154964</v>
      </c>
      <c r="C10" s="17">
        <f ca="1">($B$4/$D$4)*25*(1-0.01*0.06)</f>
        <v>480.4161426859161</v>
      </c>
      <c r="D10" s="17">
        <f ca="1">($B$4/$D$4)*35*(1-0.01*0.06)</f>
        <v>672.58259976028251</v>
      </c>
      <c r="E10" s="17">
        <f ca="1">($B$4/$D$4)*50*(1-0.01*0.06)</f>
        <v>960.8322853718322</v>
      </c>
      <c r="F10" s="17">
        <f ca="1">($B$4/$D$4)*60*(1-0.01*0.06)</f>
        <v>1152.9987424461985</v>
      </c>
    </row>
    <row r="11" spans="1:12" ht="24" customHeight="1" x14ac:dyDescent="0.25">
      <c r="A11" s="18" t="s">
        <v>22</v>
      </c>
      <c r="B11" s="19">
        <f ca="1">($B$4/$D$4)*15*(1-0.025*0.06)</f>
        <v>287.99010514622006</v>
      </c>
      <c r="C11" s="19">
        <f ca="1">($B$4/$D$4)*25*(1-0.025*0.06)</f>
        <v>479.98350857703349</v>
      </c>
      <c r="D11" s="19">
        <f ca="1">($B$4/$D$4)*35*(1-0.025*0.06)</f>
        <v>671.97691200784686</v>
      </c>
      <c r="E11" s="19">
        <f ca="1">($B$4/$D$4)*50*(1-0.025*0.06)</f>
        <v>959.96701715406698</v>
      </c>
      <c r="F11" s="19">
        <f ca="1">($B$4/$D$4)*60*(1-0.025*0.06)</f>
        <v>1151.9604205848802</v>
      </c>
    </row>
    <row r="12" spans="1:12" ht="24" customHeight="1" x14ac:dyDescent="0.25">
      <c r="A12" s="20" t="s">
        <v>23</v>
      </c>
      <c r="B12" s="21">
        <f ca="1">($B$4/$D$4)*15*(1-0.05*0.06)</f>
        <v>287.55747103733739</v>
      </c>
      <c r="C12" s="21">
        <f ca="1">($B$4/$D$4)*25*(1-0.05*0.06)</f>
        <v>479.26245172889571</v>
      </c>
      <c r="D12" s="21">
        <f ca="1">($B$4/$D$4)*35*(1-0.05*0.06)</f>
        <v>670.96743242045386</v>
      </c>
      <c r="E12" s="21">
        <f ca="1">($B$4/$D$4)*50*(1-0.05*0.06)</f>
        <v>958.52490345779142</v>
      </c>
      <c r="F12" s="21">
        <f ca="1">($B$4/$D$4)*60*(1-0.05*0.06)</f>
        <v>1150.2298841493496</v>
      </c>
    </row>
    <row r="13" spans="1:12" ht="27.75" customHeight="1" x14ac:dyDescent="0.25">
      <c r="A13" s="42" t="s">
        <v>24</v>
      </c>
      <c r="B13" s="42"/>
      <c r="C13" s="42"/>
      <c r="D13" s="42"/>
      <c r="E13" s="42"/>
      <c r="F13" s="42"/>
      <c r="G13" s="42"/>
    </row>
    <row r="14" spans="1:12" ht="27.75" customHeight="1" x14ac:dyDescent="0.25">
      <c r="A14" s="6" t="s">
        <v>13</v>
      </c>
      <c r="B14" s="7" t="s">
        <v>14</v>
      </c>
      <c r="C14" s="8" t="s">
        <v>15</v>
      </c>
      <c r="D14" s="9" t="s">
        <v>16</v>
      </c>
      <c r="E14" s="10" t="s">
        <v>17</v>
      </c>
      <c r="F14" s="11" t="s">
        <v>18</v>
      </c>
    </row>
    <row r="15" spans="1:12" ht="24" customHeight="1" x14ac:dyDescent="0.25">
      <c r="A15" s="12" t="s">
        <v>19</v>
      </c>
      <c r="B15" s="22">
        <f t="shared" ref="B15:F19" ca="1" si="0">(B8-$B$4)/$B$4</f>
        <v>-0.71095147067891717</v>
      </c>
      <c r="C15" s="22">
        <f t="shared" ca="1" si="0"/>
        <v>-0.51825245113152851</v>
      </c>
      <c r="D15" s="22">
        <f t="shared" ca="1" si="0"/>
        <v>-0.32555343158414007</v>
      </c>
      <c r="E15" s="22">
        <f t="shared" ca="1" si="0"/>
        <v>-3.650490226305713E-2</v>
      </c>
      <c r="F15" s="22">
        <f t="shared" ca="1" si="0"/>
        <v>0.15619411728433144</v>
      </c>
    </row>
    <row r="16" spans="1:12" ht="24" customHeight="1" x14ac:dyDescent="0.25">
      <c r="A16" s="14" t="s">
        <v>20</v>
      </c>
      <c r="B16" s="23">
        <f t="shared" ca="1" si="0"/>
        <v>-0.71103818523771345</v>
      </c>
      <c r="C16" s="23">
        <f t="shared" ca="1" si="0"/>
        <v>-0.51839697539618901</v>
      </c>
      <c r="D16" s="23">
        <f t="shared" ca="1" si="0"/>
        <v>-0.32575576555466473</v>
      </c>
      <c r="E16" s="23">
        <f t="shared" ca="1" si="0"/>
        <v>-3.6793950792378224E-2</v>
      </c>
      <c r="F16" s="23">
        <f t="shared" ca="1" si="0"/>
        <v>0.15584725904914609</v>
      </c>
    </row>
    <row r="17" spans="1:7" ht="24" customHeight="1" x14ac:dyDescent="0.25">
      <c r="A17" s="16" t="s">
        <v>21</v>
      </c>
      <c r="B17" s="24">
        <f t="shared" ca="1" si="0"/>
        <v>-0.71112489979650972</v>
      </c>
      <c r="C17" s="24">
        <f t="shared" ca="1" si="0"/>
        <v>-0.51854149966084961</v>
      </c>
      <c r="D17" s="24">
        <f t="shared" ca="1" si="0"/>
        <v>-0.32595809952518956</v>
      </c>
      <c r="E17" s="24">
        <f t="shared" ca="1" si="0"/>
        <v>-3.7082999321699311E-2</v>
      </c>
      <c r="F17" s="24">
        <f t="shared" ca="1" si="0"/>
        <v>0.15550040081396074</v>
      </c>
    </row>
    <row r="18" spans="1:7" ht="24" customHeight="1" x14ac:dyDescent="0.25">
      <c r="A18" s="18" t="s">
        <v>22</v>
      </c>
      <c r="B18" s="25">
        <f t="shared" ca="1" si="0"/>
        <v>-0.71138504347289888</v>
      </c>
      <c r="C18" s="25">
        <f t="shared" ca="1" si="0"/>
        <v>-0.51897507245483121</v>
      </c>
      <c r="D18" s="25">
        <f t="shared" ca="1" si="0"/>
        <v>-0.32656510143676376</v>
      </c>
      <c r="E18" s="25">
        <f t="shared" ca="1" si="0"/>
        <v>-3.7950144909662475E-2</v>
      </c>
      <c r="F18" s="25">
        <f t="shared" ca="1" si="0"/>
        <v>0.15445982610840489</v>
      </c>
    </row>
    <row r="19" spans="1:7" ht="24" customHeight="1" x14ac:dyDescent="0.25">
      <c r="A19" s="20" t="s">
        <v>23</v>
      </c>
      <c r="B19" s="26">
        <f t="shared" ca="1" si="0"/>
        <v>-0.71181861626688048</v>
      </c>
      <c r="C19" s="26">
        <f t="shared" ca="1" si="0"/>
        <v>-0.51969769377813402</v>
      </c>
      <c r="D19" s="26">
        <f t="shared" ca="1" si="0"/>
        <v>-0.32757677128938767</v>
      </c>
      <c r="E19" s="26">
        <f t="shared" ca="1" si="0"/>
        <v>-3.9395387556267931E-2</v>
      </c>
      <c r="F19" s="26">
        <f t="shared" ca="1" si="0"/>
        <v>0.15272553493247834</v>
      </c>
    </row>
    <row r="20" spans="1:7" ht="30" customHeight="1" x14ac:dyDescent="0.25">
      <c r="A20" s="48" t="s">
        <v>25</v>
      </c>
      <c r="B20" s="48"/>
      <c r="C20" s="48"/>
      <c r="D20" s="48"/>
      <c r="E20" s="48"/>
      <c r="F20" s="48"/>
      <c r="G20" s="48"/>
    </row>
    <row r="21" spans="1:7" ht="27.75" customHeight="1" x14ac:dyDescent="0.25">
      <c r="A21" s="42" t="s">
        <v>26</v>
      </c>
      <c r="B21" s="42"/>
      <c r="C21" s="42"/>
      <c r="D21" s="42"/>
      <c r="E21" s="42"/>
      <c r="F21" s="42"/>
      <c r="G21" s="42"/>
    </row>
    <row r="22" spans="1:7" ht="24" customHeight="1" x14ac:dyDescent="0.25">
      <c r="A22" s="1" t="s">
        <v>27</v>
      </c>
      <c r="B22" s="1" t="s">
        <v>28</v>
      </c>
      <c r="C22" s="49" t="s">
        <v>29</v>
      </c>
      <c r="D22" s="49"/>
      <c r="E22" s="49"/>
      <c r="F22" s="49"/>
      <c r="G22" s="49"/>
    </row>
    <row r="23" spans="1:7" ht="42" customHeight="1" x14ac:dyDescent="0.25">
      <c r="A23" s="27" t="s">
        <v>30</v>
      </c>
      <c r="B23" s="28" t="s">
        <v>31</v>
      </c>
      <c r="C23" s="50" t="s">
        <v>32</v>
      </c>
      <c r="D23" s="50"/>
      <c r="E23" s="50"/>
      <c r="F23" s="50"/>
      <c r="G23" s="50"/>
    </row>
    <row r="24" spans="1:7" ht="42" customHeight="1" x14ac:dyDescent="0.25">
      <c r="A24" s="29" t="s">
        <v>33</v>
      </c>
      <c r="B24" s="30" t="s">
        <v>34</v>
      </c>
      <c r="C24" s="51" t="s">
        <v>35</v>
      </c>
      <c r="D24" s="51"/>
      <c r="E24" s="51"/>
      <c r="F24" s="51"/>
      <c r="G24" s="51"/>
    </row>
    <row r="25" spans="1:7" ht="42" customHeight="1" x14ac:dyDescent="0.25">
      <c r="A25" s="31" t="s">
        <v>36</v>
      </c>
      <c r="B25" s="32" t="s">
        <v>37</v>
      </c>
      <c r="C25" s="52" t="s">
        <v>38</v>
      </c>
      <c r="D25" s="52"/>
      <c r="E25" s="52"/>
      <c r="F25" s="52"/>
      <c r="G25" s="52"/>
    </row>
    <row r="26" spans="1:7" ht="42" customHeight="1" x14ac:dyDescent="0.25">
      <c r="A26" s="33" t="s">
        <v>39</v>
      </c>
      <c r="B26" s="34" t="s">
        <v>40</v>
      </c>
      <c r="C26" s="53" t="s">
        <v>41</v>
      </c>
      <c r="D26" s="53"/>
      <c r="E26" s="53"/>
      <c r="F26" s="53"/>
      <c r="G26" s="53"/>
    </row>
    <row r="27" spans="1:7" ht="42" customHeight="1" x14ac:dyDescent="0.25">
      <c r="A27" s="35" t="s">
        <v>42</v>
      </c>
      <c r="B27" s="36" t="s">
        <v>43</v>
      </c>
      <c r="C27" s="54" t="s">
        <v>44</v>
      </c>
      <c r="D27" s="54"/>
      <c r="E27" s="54"/>
      <c r="F27" s="54"/>
      <c r="G27" s="54"/>
    </row>
    <row r="28" spans="1:7" ht="27.75" customHeight="1" x14ac:dyDescent="0.25">
      <c r="A28" s="42" t="s">
        <v>45</v>
      </c>
      <c r="B28" s="42"/>
      <c r="C28" s="42"/>
      <c r="D28" s="42"/>
      <c r="E28" s="42"/>
      <c r="F28" s="42"/>
      <c r="G28" s="42"/>
    </row>
    <row r="29" spans="1:7" ht="39.75" customHeight="1" x14ac:dyDescent="0.25">
      <c r="A29" s="37" t="s">
        <v>46</v>
      </c>
      <c r="B29" s="55" t="s">
        <v>47</v>
      </c>
      <c r="C29" s="55"/>
      <c r="D29" s="55"/>
      <c r="E29" s="55"/>
      <c r="F29" s="55"/>
      <c r="G29" s="55"/>
    </row>
    <row r="30" spans="1:7" ht="39.75" customHeight="1" x14ac:dyDescent="0.25">
      <c r="A30" s="38" t="s">
        <v>48</v>
      </c>
      <c r="B30" s="56" t="s">
        <v>49</v>
      </c>
      <c r="C30" s="56"/>
      <c r="D30" s="56"/>
      <c r="E30" s="56"/>
      <c r="F30" s="56"/>
      <c r="G30" s="56"/>
    </row>
    <row r="31" spans="1:7" ht="39.75" customHeight="1" x14ac:dyDescent="0.25">
      <c r="A31" s="37" t="s">
        <v>50</v>
      </c>
      <c r="B31" s="55" t="s">
        <v>51</v>
      </c>
      <c r="C31" s="55"/>
      <c r="D31" s="55"/>
      <c r="E31" s="55"/>
      <c r="F31" s="55"/>
      <c r="G31" s="55"/>
    </row>
    <row r="32" spans="1:7" ht="39.75" customHeight="1" x14ac:dyDescent="0.25">
      <c r="A32" s="38" t="s">
        <v>52</v>
      </c>
      <c r="B32" s="56" t="s">
        <v>53</v>
      </c>
      <c r="C32" s="56"/>
      <c r="D32" s="56"/>
      <c r="E32" s="56"/>
      <c r="F32" s="56"/>
      <c r="G32" s="56"/>
    </row>
    <row r="33" spans="1:7" ht="27.75" customHeight="1" x14ac:dyDescent="0.25">
      <c r="A33" s="57" t="s">
        <v>54</v>
      </c>
      <c r="B33" s="57"/>
      <c r="C33" s="57"/>
      <c r="D33" s="57"/>
      <c r="E33" s="57"/>
      <c r="F33" s="57"/>
      <c r="G33" s="57"/>
    </row>
    <row r="34" spans="1:7" ht="21.75" customHeight="1" x14ac:dyDescent="0.25"/>
    <row r="35" spans="1:7" ht="21.75" customHeight="1" x14ac:dyDescent="0.25"/>
    <row r="36" spans="1:7" ht="21.75" customHeight="1" x14ac:dyDescent="0.25"/>
    <row r="37" spans="1:7" ht="21.75" customHeight="1" x14ac:dyDescent="0.25"/>
    <row r="38" spans="1:7" ht="21.75" customHeight="1" x14ac:dyDescent="0.25"/>
    <row r="39" spans="1:7" ht="21.75" customHeight="1" x14ac:dyDescent="0.25"/>
    <row r="40" spans="1:7" ht="21.75" customHeight="1" x14ac:dyDescent="0.25"/>
    <row r="41" spans="1:7" ht="21.75" customHeight="1" x14ac:dyDescent="0.25"/>
    <row r="42" spans="1:7" ht="21.75" customHeight="1" x14ac:dyDescent="0.25"/>
    <row r="43" spans="1:7" ht="21.75" customHeight="1" x14ac:dyDescent="0.25"/>
    <row r="44" spans="1:7" ht="21.75" customHeight="1" x14ac:dyDescent="0.25"/>
    <row r="45" spans="1:7" ht="21.75" customHeight="1" x14ac:dyDescent="0.25"/>
    <row r="46" spans="1:7" ht="21.75" customHeight="1" x14ac:dyDescent="0.25"/>
    <row r="47" spans="1:7" ht="21.75" customHeight="1" x14ac:dyDescent="0.25"/>
    <row r="48" spans="1:7" ht="21.75" customHeight="1" x14ac:dyDescent="0.25"/>
    <row r="49" ht="21.75" customHeight="1" x14ac:dyDescent="0.25"/>
    <row r="50" ht="21.75" customHeight="1" x14ac:dyDescent="0.25"/>
    <row r="51" ht="21.75" customHeight="1" x14ac:dyDescent="0.25"/>
    <row r="52" ht="21.75" customHeight="1" x14ac:dyDescent="0.25"/>
    <row r="53" ht="21.75" customHeight="1" x14ac:dyDescent="0.25"/>
    <row r="54" ht="21.75" customHeight="1" x14ac:dyDescent="0.25"/>
  </sheetData>
  <mergeCells count="25">
    <mergeCell ref="B29:G29"/>
    <mergeCell ref="B30:G30"/>
    <mergeCell ref="B31:G31"/>
    <mergeCell ref="B32:G32"/>
    <mergeCell ref="A33:G33"/>
    <mergeCell ref="C24:G24"/>
    <mergeCell ref="C25:G25"/>
    <mergeCell ref="C26:G26"/>
    <mergeCell ref="C27:G27"/>
    <mergeCell ref="A28:G28"/>
    <mergeCell ref="A13:G13"/>
    <mergeCell ref="A20:G20"/>
    <mergeCell ref="A21:G21"/>
    <mergeCell ref="C22:G22"/>
    <mergeCell ref="C23:G23"/>
    <mergeCell ref="F4:G4"/>
    <mergeCell ref="A5:B5"/>
    <mergeCell ref="C5:D5"/>
    <mergeCell ref="E5:G5"/>
    <mergeCell ref="A6:G6"/>
    <mergeCell ref="A1:G1"/>
    <mergeCell ref="A2:G2"/>
    <mergeCell ref="A3:B3"/>
    <mergeCell ref="C3:D3"/>
    <mergeCell ref="E3:G3"/>
  </mergeCells>
  <conditionalFormatting sqref="B15:F19">
    <cfRule type="colorScale" priority="1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B8:F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orientation="landscape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Matriz de Sensibilidad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Mauricio (Hijo) Ayala</cp:lastModifiedBy>
  <cp:revision>0</cp:revision>
  <dcterms:created xsi:type="dcterms:W3CDTF">2026-05-11T01:21:26Z</dcterms:created>
  <dcterms:modified xsi:type="dcterms:W3CDTF">2026-05-11T15:04:35Z</dcterms:modified>
  <dc:language>en-US</dc:language>
</cp:coreProperties>
</file>