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uism\Downloads\"/>
    </mc:Choice>
  </mc:AlternateContent>
  <xr:revisionPtr revIDLastSave="0" documentId="13_ncr:1_{32F193BB-87A0-4F7B-B9D0-FBA383A0CE77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Matriz de Sensibilidad" sheetId="1" r:id="rId1"/>
    <sheet name="Monte Carlo" sheetId="2" r:id="rId2"/>
    <sheet name="Tornado — Cisnes Negros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4" i="2" l="1"/>
  <c r="B3" i="2"/>
  <c r="D4" i="1" a="1"/>
  <c r="D4" i="1" s="1"/>
  <c r="B4" i="1" a="1"/>
  <c r="B4" i="1" s="1"/>
  <c r="L2" i="1" a="1"/>
  <c r="L2" i="1" s="1"/>
  <c r="K2" i="1" a="1"/>
  <c r="K2" i="1" s="1"/>
  <c r="J2" i="1" a="1"/>
  <c r="J2" i="1" s="1"/>
  <c r="F12" i="1" l="1"/>
  <c r="F19" i="1" s="1"/>
  <c r="D10" i="1"/>
  <c r="D17" i="1" s="1"/>
  <c r="B8" i="1"/>
  <c r="B15" i="1" s="1"/>
  <c r="F8" i="1"/>
  <c r="F15" i="1" s="1"/>
  <c r="E12" i="1"/>
  <c r="E19" i="1" s="1"/>
  <c r="C10" i="1"/>
  <c r="C17" i="1" s="1"/>
  <c r="B10" i="1"/>
  <c r="B17" i="1" s="1"/>
  <c r="C9" i="1"/>
  <c r="C16" i="1" s="1"/>
  <c r="D12" i="1"/>
  <c r="D19" i="1" s="1"/>
  <c r="C11" i="1"/>
  <c r="C18" i="1" s="1"/>
  <c r="C12" i="1"/>
  <c r="C19" i="1" s="1"/>
  <c r="F9" i="1"/>
  <c r="F16" i="1" s="1"/>
  <c r="D11" i="1"/>
  <c r="D18" i="1" s="1"/>
  <c r="B12" i="1"/>
  <c r="B19" i="1" s="1"/>
  <c r="E9" i="1"/>
  <c r="E16" i="1" s="1"/>
  <c r="E11" i="1"/>
  <c r="E18" i="1" s="1"/>
  <c r="B9" i="1"/>
  <c r="B16" i="1" s="1"/>
  <c r="F11" i="1"/>
  <c r="F18" i="1" s="1"/>
  <c r="D9" i="1"/>
  <c r="D16" i="1" s="1"/>
  <c r="B11" i="1"/>
  <c r="B18" i="1" s="1"/>
  <c r="E8" i="1"/>
  <c r="E15" i="1" s="1"/>
  <c r="F10" i="1"/>
  <c r="F17" i="1" s="1"/>
  <c r="D8" i="1"/>
  <c r="D15" i="1" s="1"/>
  <c r="E10" i="1"/>
  <c r="E17" i="1" s="1"/>
  <c r="C8" i="1"/>
  <c r="C15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2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<sst xmlns="http://schemas.openxmlformats.org/spreadsheetml/2006/main" count="159" uniqueCount="143">
  <si>
    <t>🦢  SIMULADOR DE RIESGOS COSTCO — Black Swan Edition</t>
  </si>
  <si>
    <t xml:space="preserve">  ⚙  CONTROLES DE ESCENARIO</t>
  </si>
  <si>
    <t>Riesgo de Mercado (Valuation)</t>
  </si>
  <si>
    <t>Riesgo Macroeconómico</t>
  </si>
  <si>
    <t>Riesgo Operativo / Cisne Negro</t>
  </si>
  <si>
    <t>Precio Actual (COST):</t>
  </si>
  <si>
    <t>P/E Actual:</t>
  </si>
  <si>
    <t>Nota:</t>
  </si>
  <si>
    <t>Modifique celdas azules (B4, D4) para actualizar toda la matriz</t>
  </si>
  <si>
    <t>Fuente: Precio de mercado actual COST</t>
  </si>
  <si>
    <t>Fuente: Consenso Bloomberg / FactSet, May 2026</t>
  </si>
  <si>
    <t>Modificar inputs en celdas azules →</t>
  </si>
  <si>
    <t xml:space="preserve">  📊  MATRIZ DE VALORACIÓN ESTRESADA  —  Fair Value vs Macro</t>
  </si>
  <si>
    <t>Shock de Tasa  \  P/E Objetivo →</t>
  </si>
  <si>
    <t>15x P/E</t>
  </si>
  <si>
    <t>25x P/E</t>
  </si>
  <si>
    <t>35x P/E</t>
  </si>
  <si>
    <t>50x P/E</t>
  </si>
  <si>
    <t>60x P/E</t>
  </si>
  <si>
    <t>+0.0%  (Base)</t>
  </si>
  <si>
    <t>+0.5%</t>
  </si>
  <si>
    <t>+1.0%</t>
  </si>
  <si>
    <t>+2.5%</t>
  </si>
  <si>
    <t>+5.0%  (Pánico 🚨)</t>
  </si>
  <si>
    <t xml:space="preserve">  📈  UPSIDE / DOWNSIDE vs. PRECIO ACTUAL</t>
  </si>
  <si>
    <t>🚨  ALERTA: Si el Fair Value estresado (35x P/E, +2.5% Tasa) implica caída &gt;30%, revisar posición.</t>
  </si>
  <si>
    <t xml:space="preserve">  🦢  GLOSARIO DE CISNES NEGROS  —  Eventos de Cola para COST</t>
  </si>
  <si>
    <t>#</t>
  </si>
  <si>
    <t>Evento</t>
  </si>
  <si>
    <t>Descripción del Riesgo</t>
  </si>
  <si>
    <t>1</t>
  </si>
  <si>
    <t>Disrupción de Membresía</t>
  </si>
  <si>
    <t>El gobierno federal prohíbe o regula el modelo de suscripción tipo club. Las membresías representan ~80% del ingreso operativo; una prohibición eliminaría el moat estructural.</t>
  </si>
  <si>
    <t>2</t>
  </si>
  <si>
    <t>Bloqueo del Pacífico</t>
  </si>
  <si>
    <t>Cierre prolongado del comercio con Asia (tensión geopolítica o pandemia logística). Costco opera con rotación extrema de inventario — los estantes se vaciarían en semanas.</t>
  </si>
  <si>
    <t>3</t>
  </si>
  <si>
    <t>Crisis Kirkland Signature</t>
  </si>
  <si>
    <t>Problema sanitario masivo ligado a la marca propia (contaminación, retiro masivo). Kirkland genera ~$60B en ventas anuales; destruiría la confianza del socio en días.</t>
  </si>
  <si>
    <t>4</t>
  </si>
  <si>
    <t>Compresión de Múltiplos</t>
  </si>
  <si>
    <t>El mercado deja de valorar a Costco como 'tech/crecimiento' (50x P/E actual) y lo reclasifica como retail tradicional (15x P/E). Caída implícita del precio: ~70%.</t>
  </si>
  <si>
    <t>5</t>
  </si>
  <si>
    <t>Entrada Disruptiva de Amazon/Alibaba</t>
  </si>
  <si>
    <t>Un competidor lanza un modelo de membresía con entrega 2-horas a precios iguales. Amenaza directa a la propuesta de valor del viaje físico al almacén.</t>
  </si>
  <si>
    <t xml:space="preserve">  📋  REFERENCIA RÁPIDA — Supuestos del Modelo</t>
  </si>
  <si>
    <t>Sensibilidad de Tipo de Interés</t>
  </si>
  <si>
    <t>Por cada +1% en la tasa Fed, se aplica un factor de compresión del 6% al múltiplo P/E objetivo. Base empírica: correlación histórica tasa-múltiplo en mercados de renta variable (2004-2024).</t>
  </si>
  <si>
    <t>EPS Implícito</t>
  </si>
  <si>
    <t>EPS = Precio Actual / P/E Actual. No se proyectan crecimientos; el modelo es una foto del valor intrínseco bajo distintos escenarios de múltiplo y entorno macro.</t>
  </si>
  <si>
    <t>Columna 15x P/E</t>
  </si>
  <si>
    <t>Representa el escenario de 'reclasificación a retail tradicional' (Cisne Negro #4). Target históricamente usado para valorar Walmart, Target, etc.</t>
  </si>
  <si>
    <t>Columna 50x P/E</t>
  </si>
  <si>
    <t>Equivale al múltiplo actual de mercado. Fair Value = Precio Actual cuando no hay shock de tasa.</t>
  </si>
  <si>
    <t>⚠  Solo con fines educativos / análisis de inversión personal. No constituye asesoramiento financiero. | Fuentes: Precio y P/E: Bloomberg/FactSet May 2026 | Modelo: Tiendas MD Investment Research</t>
  </si>
  <si>
    <t>🎲  SIMULACIÓN MONTE CARLO — Distribución del Fair Value (COST)</t>
  </si>
  <si>
    <t xml:space="preserve">  ⚙  PARÁMETROS DE SIMULACIÓN  (N = 2,000 iteraciones)</t>
  </si>
  <si>
    <t>Precio Actual (COST)</t>
  </si>
  <si>
    <t>← modifica</t>
  </si>
  <si>
    <t>Precio spot May 2026. Source: Bloomberg, May 2026</t>
  </si>
  <si>
    <t>P/E Actual</t>
  </si>
  <si>
    <t>Consenso de mercado. Source: FactSet, May 2026</t>
  </si>
  <si>
    <t>P/E Medio (μ)</t>
  </si>
  <si>
    <t>Media histórica 5Y ajustada</t>
  </si>
  <si>
    <t>P/E Desv. Estándar (σ)</t>
  </si>
  <si>
    <t>Volatilidad implícita del múltiplo</t>
  </si>
  <si>
    <t>Shock Tasa Medio (μ)</t>
  </si>
  <si>
    <t>Escenario base Fed +100bps</t>
  </si>
  <si>
    <t>Shock Tasa Desv. (σ)</t>
  </si>
  <si>
    <t>Dispersión de escenarios macro</t>
  </si>
  <si>
    <t xml:space="preserve">  📊  RESULTADOS ESTADÍSTICOS  (Fair Value Simulado)</t>
  </si>
  <si>
    <t>Métrica</t>
  </si>
  <si>
    <t>Valor</t>
  </si>
  <si>
    <t>Interpretación</t>
  </si>
  <si>
    <t>Fair Value Esperado (μ)</t>
  </si>
  <si>
    <t>Promedio de 2,000 simulaciones. Referencia central del modelo.</t>
  </si>
  <si>
    <t>Mediana Fair Value</t>
  </si>
  <si>
    <t>50% de simulaciones caen por debajo de este valor.</t>
  </si>
  <si>
    <t>Desviación Estándar (σ)</t>
  </si>
  <si>
    <t>Dispersión de posibles Fair Values. Mayor σ = mayor incertidumbre.</t>
  </si>
  <si>
    <t>Percentil 5% (Worst Case)</t>
  </si>
  <si>
    <t>Solo el 5% de escenarios dan un precio menor. Proxy de 'tail risk'.</t>
  </si>
  <si>
    <t>Percentil 25%</t>
  </si>
  <si>
    <t>Cuartil inferior — escenario pesimista moderado.</t>
  </si>
  <si>
    <t>Percentil 75%</t>
  </si>
  <si>
    <t>Cuartil superior — escenario optimista moderado.</t>
  </si>
  <si>
    <t>Percentil 95% (Best Case)</t>
  </si>
  <si>
    <t>Solo el 5% de escenarios superan este precio.</t>
  </si>
  <si>
    <t>Probabilidad de Pérdida vs $780</t>
  </si>
  <si>
    <t>% de escenarios donde Fair Value &lt; Precio Actual.</t>
  </si>
  <si>
    <t>Probabilidad Upside &gt;10%</t>
  </si>
  <si>
    <t>% de escenarios donde Fair Value &gt; $858 (+10%).</t>
  </si>
  <si>
    <t xml:space="preserve">  📈  HISTOGRAMA DE DISTRIBUCIÓN  (Fair Value Simulado — 2,000 iteraciones)</t>
  </si>
  <si>
    <t>Rango Fair Value</t>
  </si>
  <si>
    <t>Frecuencia (#sims)</t>
  </si>
  <si>
    <t>Frecuencia (%)</t>
  </si>
  <si>
    <t>$169</t>
  </si>
  <si>
    <t>$217</t>
  </si>
  <si>
    <t>$264</t>
  </si>
  <si>
    <t>$312</t>
  </si>
  <si>
    <t>$359</t>
  </si>
  <si>
    <t>$407</t>
  </si>
  <si>
    <t>$454</t>
  </si>
  <si>
    <t>$502</t>
  </si>
  <si>
    <t>$549</t>
  </si>
  <si>
    <t>$597</t>
  </si>
  <si>
    <t>$644</t>
  </si>
  <si>
    <t>$692</t>
  </si>
  <si>
    <t>$739</t>
  </si>
  <si>
    <t>$787</t>
  </si>
  <si>
    <t>$834</t>
  </si>
  <si>
    <t>$882</t>
  </si>
  <si>
    <t>$929</t>
  </si>
  <si>
    <t>$977</t>
  </si>
  <si>
    <t>$1024</t>
  </si>
  <si>
    <t>$1072</t>
  </si>
  <si>
    <t>$1119</t>
  </si>
  <si>
    <t>🌪  TORNADO — Impacto de Cisnes Negros en Fair Value (COST)</t>
  </si>
  <si>
    <t xml:space="preserve">  Sensibilidad del Fair Value ante cada factor de riesgo — Base: $780 (P/E 50x, tasa base)</t>
  </si>
  <si>
    <t>Factor de Riesgo</t>
  </si>
  <si>
    <t>FV Pesimista</t>
  </si>
  <si>
    <t>FV Base</t>
  </si>
  <si>
    <t>FV Optimista</t>
  </si>
  <si>
    <t>Δ Bajo</t>
  </si>
  <si>
    <t>Δ Alto</t>
  </si>
  <si>
    <t>Rango Total</t>
  </si>
  <si>
    <t>Disrupción Membresías (−80% Op.Income)</t>
  </si>
  <si>
    <t>P/E Compresión a 15x (Retail)</t>
  </si>
  <si>
    <t>Crisis Kirkland (−40% EPS)</t>
  </si>
  <si>
    <t>Bloqueo Pacífico (−25% Revenue)</t>
  </si>
  <si>
    <t>Entrada Amazon (−15% Market Share)</t>
  </si>
  <si>
    <t>Compresión P/E moderada (35x)</t>
  </si>
  <si>
    <t>Shock de Tasa +5% (Pánico Fed)</t>
  </si>
  <si>
    <t xml:space="preserve">  🔍  LECTURA DEL GRÁFICO TORNADO</t>
  </si>
  <si>
    <t>1. Las barras ROJAS muestran el impacto negativo máximo de cada cisne negro en el Fair Value vs. el precio base de $780.</t>
  </si>
  <si>
    <t>2. Las barras VERDES muestran el upside máximo si el factor se resuelve favorablemente.</t>
  </si>
  <si>
    <t>3. El factor con la barra MÁS LARGA es el mayor driver de riesgo — donde el inversor debe concentrar su diligencia.</t>
  </si>
  <si>
    <t>4. La 'Compresión de P/E a 15x' suele ser el factor dominante porque actúa sobre el multiplicador entero del precio.</t>
  </si>
  <si>
    <t>5. NOTA: Los escenarios son independientes. En un evento de mercado real, múltiples factores se correlacionan y amplifican.</t>
  </si>
  <si>
    <t>Ticker</t>
  </si>
  <si>
    <t>Precio</t>
  </si>
  <si>
    <t>P/E</t>
  </si>
  <si>
    <t>Beta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</si>
</sst>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\$#,##0.00"/>
    <numFmt numFmtId="165" formatCode="0.0\x"/>
    <numFmt numFmtId="166" formatCode="0.0%;\(0.0%\);\-"/>
    <numFmt numFmtId="167" formatCode="0.0"/>
    <numFmt numFmtId="168" formatCode="0.0%"/>
    <numFmt numFmtId="169" formatCode="\$#,##0.00;&quot;($&quot;#,##0.00\)"/>
    <numFmt numFmtId="170" formatCode="_([$$-409]* #,##0.00_);_([$$-409]* \(#,##0.00\);_([$$-409]* &quot;-&quot;??_);_(@_)"/>
  </numFmts>
  <fonts count="29" x14ac:knownFonts="1">
    <font>
      <sz val="11"/>
      <color theme="1"/>
      <name val="Calibri"/>
      <family val="2"/>
      <charset val="1"/>
    </font>
    <font>
      <b/>
      <sz val="16"/>
      <color rgb="FFE040FB"/>
      <name val="Calibri"/>
      <family val="2"/>
    </font>
    <font>
      <b/>
      <sz val="12"/>
      <color rgb="FFE040FB"/>
      <name val="Calibri"/>
      <family val="2"/>
    </font>
    <font>
      <b/>
      <sz val="10"/>
      <color rgb="FFFFFFFF"/>
      <name val="Calibri"/>
      <family val="2"/>
    </font>
    <font>
      <b/>
      <sz val="10"/>
      <color rgb="FFEEEEEE"/>
      <name val="Calibri"/>
      <family val="2"/>
    </font>
    <font>
      <b/>
      <sz val="12"/>
      <color rgb="FF64B5F6"/>
      <name val="Calibri"/>
      <family val="2"/>
    </font>
    <font>
      <b/>
      <sz val="9"/>
      <color rgb="FFEEEEEE"/>
      <name val="Calibri"/>
      <family val="2"/>
    </font>
    <font>
      <i/>
      <sz val="9"/>
      <color rgb="FFFFD54F"/>
      <name val="Calibri"/>
      <family val="2"/>
    </font>
    <font>
      <i/>
      <sz val="8"/>
      <color rgb="FF9E9E9E"/>
      <name val="Calibri"/>
      <family val="2"/>
    </font>
    <font>
      <b/>
      <sz val="11"/>
      <color rgb="FFFFFFFF"/>
      <name val="Calibri"/>
      <family val="2"/>
    </font>
    <font>
      <sz val="10"/>
      <color rgb="FFFFFFFF"/>
      <name val="Calibri"/>
      <family val="2"/>
    </font>
    <font>
      <b/>
      <sz val="10"/>
      <color rgb="FFFF8A80"/>
      <name val="Calibri"/>
      <family val="2"/>
    </font>
    <font>
      <b/>
      <sz val="10"/>
      <color rgb="FFFFD54F"/>
      <name val="Calibri"/>
      <family val="2"/>
    </font>
    <font>
      <b/>
      <sz val="12"/>
      <color rgb="FFFFD54F"/>
      <name val="Calibri"/>
      <family val="2"/>
    </font>
    <font>
      <b/>
      <sz val="10"/>
      <color rgb="FFFF8A65"/>
      <name val="Calibri"/>
      <family val="2"/>
    </font>
    <font>
      <sz val="9"/>
      <color rgb="FFEEEEEE"/>
      <name val="Calibri"/>
      <family val="2"/>
    </font>
    <font>
      <b/>
      <sz val="10"/>
      <color rgb="FF80CBC4"/>
      <name val="Calibri"/>
      <family val="2"/>
    </font>
    <font>
      <i/>
      <sz val="8"/>
      <color rgb="FF757575"/>
      <name val="Calibri"/>
      <family val="2"/>
    </font>
    <font>
      <b/>
      <sz val="15"/>
      <color rgb="FFE040FB"/>
      <name val="Calibri"/>
      <family val="2"/>
    </font>
    <font>
      <b/>
      <sz val="11"/>
      <color rgb="FFE040FB"/>
      <name val="Calibri"/>
      <family val="2"/>
    </font>
    <font>
      <b/>
      <sz val="11"/>
      <color rgb="FF64B5F6"/>
      <name val="Calibri"/>
      <family val="2"/>
    </font>
    <font>
      <sz val="9"/>
      <color rgb="FFFFFFFF"/>
      <name val="Calibri"/>
      <family val="2"/>
    </font>
    <font>
      <sz val="9"/>
      <color rgb="FFFFD54F"/>
      <name val="Calibri"/>
      <family val="2"/>
    </font>
    <font>
      <i/>
      <sz val="10"/>
      <color rgb="FFFFD54F"/>
      <name val="Calibri"/>
      <family val="2"/>
    </font>
    <font>
      <b/>
      <sz val="9"/>
      <color rgb="FFFFFFFF"/>
      <name val="Calibri"/>
      <family val="2"/>
    </font>
    <font>
      <b/>
      <sz val="10"/>
      <color rgb="FFFF7043"/>
      <name val="Calibri"/>
      <family val="2"/>
    </font>
    <font>
      <sz val="10"/>
      <color rgb="FFBDBDBD"/>
      <name val="Calibri"/>
      <family val="2"/>
    </font>
    <font>
      <b/>
      <sz val="10"/>
      <color rgb="FF66BB6A"/>
      <name val="Calibri"/>
      <family val="2"/>
    </font>
    <font>
      <b/>
      <sz val="10"/>
      <color rgb="FFEF5350"/>
      <name val="Calibri"/>
      <family val="2"/>
    </font>
  </fonts>
  <fills count="27">
    <fill>
      <patternFill patternType="none"/>
    </fill>
    <fill>
      <patternFill patternType="gray125"/>
    </fill>
    <fill>
      <patternFill patternType="solid">
        <fgColor rgb="FF1E1E2E"/>
        <bgColor rgb="FF1A1A2E"/>
      </patternFill>
    </fill>
    <fill>
      <patternFill patternType="solid">
        <fgColor rgb="FF2D2D44"/>
        <bgColor rgb="FF303050"/>
      </patternFill>
    </fill>
    <fill>
      <patternFill patternType="solid">
        <fgColor rgb="FF1565C0"/>
        <bgColor rgb="FF3F51B5"/>
      </patternFill>
    </fill>
    <fill>
      <patternFill patternType="solid">
        <fgColor rgb="FF558B2F"/>
        <bgColor rgb="FF2E7D32"/>
      </patternFill>
    </fill>
    <fill>
      <patternFill patternType="solid">
        <fgColor rgb="FF6A1515"/>
        <bgColor rgb="FF800000"/>
      </patternFill>
    </fill>
    <fill>
      <patternFill patternType="solid">
        <fgColor rgb="FF303050"/>
        <bgColor rgb="FF2D2D44"/>
      </patternFill>
    </fill>
    <fill>
      <patternFill patternType="solid">
        <fgColor rgb="FFEF5350"/>
        <bgColor rgb="FFFF7043"/>
      </patternFill>
    </fill>
    <fill>
      <patternFill patternType="solid">
        <fgColor rgb="FFFF7043"/>
        <bgColor rgb="FFF57F17"/>
      </patternFill>
    </fill>
    <fill>
      <patternFill patternType="solid">
        <fgColor rgb="FFFFA726"/>
        <bgColor rgb="FFFF8A65"/>
      </patternFill>
    </fill>
    <fill>
      <patternFill patternType="solid">
        <fgColor rgb="FF66BB6A"/>
        <bgColor rgb="FF80CBC4"/>
      </patternFill>
    </fill>
    <fill>
      <patternFill patternType="solid">
        <fgColor rgb="FF26A69A"/>
        <bgColor rgb="FF4F81BD"/>
      </patternFill>
    </fill>
    <fill>
      <patternFill patternType="solid">
        <fgColor rgb="FF1B5E20"/>
        <bgColor rgb="FF2E7D32"/>
      </patternFill>
    </fill>
    <fill>
      <patternFill patternType="solid">
        <fgColor rgb="FF2E7D32"/>
        <bgColor rgb="FF558B2F"/>
      </patternFill>
    </fill>
    <fill>
      <patternFill patternType="solid">
        <fgColor rgb="FFF57F17"/>
        <bgColor rgb="FFFF7043"/>
      </patternFill>
    </fill>
    <fill>
      <patternFill patternType="solid">
        <fgColor rgb="FFB71C1C"/>
        <bgColor rgb="FF800000"/>
      </patternFill>
    </fill>
    <fill>
      <patternFill patternType="solid">
        <fgColor rgb="FF1A237E"/>
        <bgColor rgb="FF283593"/>
      </patternFill>
    </fill>
    <fill>
      <patternFill patternType="solid">
        <fgColor rgb="FF283593"/>
        <bgColor rgb="FF303F9F"/>
      </patternFill>
    </fill>
    <fill>
      <patternFill patternType="solid">
        <fgColor rgb="FF303F9F"/>
        <bgColor rgb="FF283593"/>
      </patternFill>
    </fill>
    <fill>
      <patternFill patternType="solid">
        <fgColor rgb="FF3949AB"/>
        <bgColor rgb="FF3F51B5"/>
      </patternFill>
    </fill>
    <fill>
      <patternFill patternType="solid">
        <fgColor rgb="FF3F51B5"/>
        <bgColor rgb="FF3949AB"/>
      </patternFill>
    </fill>
    <fill>
      <patternFill patternType="solid">
        <fgColor rgb="FF212121"/>
        <bgColor rgb="FF1E1E2E"/>
      </patternFill>
    </fill>
    <fill>
      <patternFill patternType="solid">
        <fgColor rgb="FF1A1A2E"/>
        <bgColor rgb="FF1E1E2E"/>
      </patternFill>
    </fill>
    <fill>
      <patternFill patternType="solid">
        <fgColor rgb="FF37474F"/>
        <bgColor rgb="FF444466"/>
      </patternFill>
    </fill>
    <fill>
      <patternFill patternType="solid">
        <fgColor rgb="FF4A148C"/>
        <bgColor rgb="FF1A237E"/>
      </patternFill>
    </fill>
    <fill>
      <patternFill patternType="solid">
        <fgColor rgb="FF12122A"/>
        <bgColor rgb="FF1A1A2E"/>
      </patternFill>
    </fill>
  </fills>
  <borders count="3">
    <border>
      <left/>
      <right/>
      <top/>
      <bottom/>
      <diagonal/>
    </border>
    <border>
      <left style="thin">
        <color rgb="FF444466"/>
      </left>
      <right/>
      <top style="thin">
        <color rgb="FF444466"/>
      </top>
      <bottom style="thin">
        <color rgb="FF444466"/>
      </bottom>
      <diagonal/>
    </border>
    <border>
      <left style="thin">
        <color rgb="FF444466"/>
      </left>
      <right style="thin">
        <color rgb="FF444466"/>
      </right>
      <top style="thin">
        <color rgb="FF444466"/>
      </top>
      <bottom style="thin">
        <color rgb="FF444466"/>
      </bottom>
      <diagonal/>
    </border>
  </borders>
  <cellStyleXfs count="1">
    <xf numFmtId="0" fontId="0" fillId="0" borderId="0"/>
  </cellStyleXfs>
  <cellXfs count="114">
    <xf numFmtId="0" fontId="0" fillId="0" borderId="0" xfId="0"/>
    <xf numFmtId="0" fontId="15" fillId="21" borderId="0" xfId="0" applyFont="1" applyFill="1" applyAlignment="1">
      <alignment horizontal="left" vertical="center" wrapText="1"/>
    </xf>
    <xf numFmtId="0" fontId="15" fillId="20" borderId="0" xfId="0" applyFont="1" applyFill="1" applyAlignment="1">
      <alignment horizontal="left" vertical="center" wrapText="1"/>
    </xf>
    <xf numFmtId="0" fontId="15" fillId="19" borderId="0" xfId="0" applyFont="1" applyFill="1" applyAlignment="1">
      <alignment horizontal="left" vertical="center" wrapText="1"/>
    </xf>
    <xf numFmtId="0" fontId="15" fillId="18" borderId="0" xfId="0" applyFont="1" applyFill="1" applyAlignment="1">
      <alignment horizontal="left" vertical="center" wrapText="1"/>
    </xf>
    <xf numFmtId="0" fontId="15" fillId="17" borderId="0" xfId="0" applyFont="1" applyFill="1" applyAlignment="1">
      <alignment horizontal="left" vertical="center" wrapText="1"/>
    </xf>
    <xf numFmtId="0" fontId="12" fillId="7" borderId="0" xfId="0" applyFont="1" applyFill="1" applyAlignment="1">
      <alignment horizontal="center" vertical="center"/>
    </xf>
    <xf numFmtId="0" fontId="11" fillId="16" borderId="0" xfId="0" applyFont="1" applyFill="1" applyAlignment="1">
      <alignment horizontal="center" vertical="center" wrapText="1"/>
    </xf>
    <xf numFmtId="0" fontId="8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left" vertical="center" wrapText="1"/>
    </xf>
    <xf numFmtId="0" fontId="3" fillId="6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left" vertical="center"/>
    </xf>
    <xf numFmtId="164" fontId="5" fillId="2" borderId="0" xfId="0" applyNumberFormat="1" applyFont="1" applyFill="1" applyAlignment="1">
      <alignment horizontal="center" vertical="center"/>
    </xf>
    <xf numFmtId="165" fontId="5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0" fontId="3" fillId="7" borderId="0" xfId="0" applyFont="1" applyFill="1" applyAlignment="1">
      <alignment horizontal="center" vertical="center" wrapText="1"/>
    </xf>
    <xf numFmtId="0" fontId="9" fillId="8" borderId="0" xfId="0" applyFont="1" applyFill="1" applyAlignment="1">
      <alignment horizontal="center" vertical="center"/>
    </xf>
    <xf numFmtId="0" fontId="9" fillId="9" borderId="0" xfId="0" applyFont="1" applyFill="1" applyAlignment="1">
      <alignment horizontal="center" vertical="center"/>
    </xf>
    <xf numFmtId="0" fontId="9" fillId="10" borderId="0" xfId="0" applyFont="1" applyFill="1" applyAlignment="1">
      <alignment horizontal="center" vertical="center"/>
    </xf>
    <xf numFmtId="0" fontId="9" fillId="11" borderId="0" xfId="0" applyFont="1" applyFill="1" applyAlignment="1">
      <alignment horizontal="center" vertical="center"/>
    </xf>
    <xf numFmtId="0" fontId="9" fillId="12" borderId="0" xfId="0" applyFont="1" applyFill="1" applyAlignment="1">
      <alignment horizontal="center" vertical="center"/>
    </xf>
    <xf numFmtId="0" fontId="3" fillId="13" borderId="0" xfId="0" applyFont="1" applyFill="1" applyAlignment="1">
      <alignment horizontal="center" vertical="center"/>
    </xf>
    <xf numFmtId="164" fontId="9" fillId="13" borderId="0" xfId="0" applyNumberFormat="1" applyFont="1" applyFill="1" applyAlignment="1">
      <alignment horizontal="center" vertical="center"/>
    </xf>
    <xf numFmtId="0" fontId="10" fillId="14" borderId="0" xfId="0" applyFont="1" applyFill="1" applyAlignment="1">
      <alignment horizontal="center" vertical="center"/>
    </xf>
    <xf numFmtId="164" fontId="9" fillId="14" borderId="0" xfId="0" applyNumberFormat="1" applyFont="1" applyFill="1" applyAlignment="1">
      <alignment horizontal="center" vertical="center"/>
    </xf>
    <xf numFmtId="0" fontId="10" fillId="5" borderId="0" xfId="0" applyFont="1" applyFill="1" applyAlignment="1">
      <alignment horizontal="center" vertical="center"/>
    </xf>
    <xf numFmtId="164" fontId="9" fillId="5" borderId="0" xfId="0" applyNumberFormat="1" applyFont="1" applyFill="1" applyAlignment="1">
      <alignment horizontal="center" vertical="center"/>
    </xf>
    <xf numFmtId="0" fontId="10" fillId="15" borderId="0" xfId="0" applyFont="1" applyFill="1" applyAlignment="1">
      <alignment horizontal="center" vertical="center"/>
    </xf>
    <xf numFmtId="164" fontId="9" fillId="15" borderId="0" xfId="0" applyNumberFormat="1" applyFont="1" applyFill="1" applyAlignment="1">
      <alignment horizontal="center" vertical="center"/>
    </xf>
    <xf numFmtId="0" fontId="10" fillId="16" borderId="0" xfId="0" applyFont="1" applyFill="1" applyAlignment="1">
      <alignment horizontal="center" vertical="center"/>
    </xf>
    <xf numFmtId="164" fontId="9" fillId="16" borderId="0" xfId="0" applyNumberFormat="1" applyFont="1" applyFill="1" applyAlignment="1">
      <alignment horizontal="center" vertical="center"/>
    </xf>
    <xf numFmtId="166" fontId="9" fillId="13" borderId="0" xfId="0" applyNumberFormat="1" applyFont="1" applyFill="1" applyAlignment="1">
      <alignment horizontal="center" vertical="center"/>
    </xf>
    <xf numFmtId="166" fontId="9" fillId="14" borderId="0" xfId="0" applyNumberFormat="1" applyFont="1" applyFill="1" applyAlignment="1">
      <alignment horizontal="center" vertical="center"/>
    </xf>
    <xf numFmtId="166" fontId="9" fillId="5" borderId="0" xfId="0" applyNumberFormat="1" applyFont="1" applyFill="1" applyAlignment="1">
      <alignment horizontal="center" vertical="center"/>
    </xf>
    <xf numFmtId="166" fontId="9" fillId="15" borderId="0" xfId="0" applyNumberFormat="1" applyFont="1" applyFill="1" applyAlignment="1">
      <alignment horizontal="center" vertical="center"/>
    </xf>
    <xf numFmtId="166" fontId="9" fillId="16" borderId="0" xfId="0" applyNumberFormat="1" applyFont="1" applyFill="1" applyAlignment="1">
      <alignment horizontal="center" vertical="center"/>
    </xf>
    <xf numFmtId="0" fontId="12" fillId="7" borderId="0" xfId="0" applyFont="1" applyFill="1" applyAlignment="1">
      <alignment horizontal="center" vertical="center"/>
    </xf>
    <xf numFmtId="0" fontId="13" fillId="17" borderId="0" xfId="0" applyFont="1" applyFill="1" applyAlignment="1">
      <alignment horizontal="center" vertical="center"/>
    </xf>
    <xf numFmtId="0" fontId="14" fillId="17" borderId="0" xfId="0" applyFont="1" applyFill="1" applyAlignment="1">
      <alignment horizontal="left" vertical="center"/>
    </xf>
    <xf numFmtId="0" fontId="13" fillId="18" borderId="0" xfId="0" applyFont="1" applyFill="1" applyAlignment="1">
      <alignment horizontal="center" vertical="center"/>
    </xf>
    <xf numFmtId="0" fontId="14" fillId="18" borderId="0" xfId="0" applyFont="1" applyFill="1" applyAlignment="1">
      <alignment horizontal="left" vertical="center"/>
    </xf>
    <xf numFmtId="0" fontId="13" fillId="19" borderId="0" xfId="0" applyFont="1" applyFill="1" applyAlignment="1">
      <alignment horizontal="center" vertical="center"/>
    </xf>
    <xf numFmtId="0" fontId="14" fillId="19" borderId="0" xfId="0" applyFont="1" applyFill="1" applyAlignment="1">
      <alignment horizontal="left" vertical="center"/>
    </xf>
    <xf numFmtId="0" fontId="13" fillId="20" borderId="0" xfId="0" applyFont="1" applyFill="1" applyAlignment="1">
      <alignment horizontal="center" vertical="center"/>
    </xf>
    <xf numFmtId="0" fontId="14" fillId="20" borderId="0" xfId="0" applyFont="1" applyFill="1" applyAlignment="1">
      <alignment horizontal="left" vertical="center"/>
    </xf>
    <xf numFmtId="0" fontId="13" fillId="21" borderId="0" xfId="0" applyFont="1" applyFill="1" applyAlignment="1">
      <alignment horizontal="center" vertical="center"/>
    </xf>
    <xf numFmtId="0" fontId="14" fillId="21" borderId="0" xfId="0" applyFont="1" applyFill="1" applyAlignment="1">
      <alignment horizontal="left" vertical="center"/>
    </xf>
    <xf numFmtId="0" fontId="16" fillId="22" borderId="0" xfId="0" applyFont="1" applyFill="1" applyAlignment="1">
      <alignment horizontal="left" vertical="center" wrapText="1"/>
    </xf>
    <xf numFmtId="0" fontId="16" fillId="23" borderId="0" xfId="0" applyFont="1" applyFill="1" applyAlignment="1">
      <alignment horizontal="left" vertical="center" wrapText="1"/>
    </xf>
    <xf numFmtId="0" fontId="4" fillId="2" borderId="2" xfId="0" applyFont="1" applyFill="1" applyBorder="1" applyAlignment="1">
      <alignment horizontal="left" vertical="center"/>
    </xf>
    <xf numFmtId="164" fontId="20" fillId="2" borderId="2" xfId="0" applyNumberFormat="1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left" vertical="center"/>
    </xf>
    <xf numFmtId="165" fontId="20" fillId="2" borderId="2" xfId="0" applyNumberFormat="1" applyFont="1" applyFill="1" applyBorder="1" applyAlignment="1">
      <alignment horizontal="center" vertical="center"/>
    </xf>
    <xf numFmtId="167" fontId="20" fillId="2" borderId="2" xfId="0" applyNumberFormat="1" applyFont="1" applyFill="1" applyBorder="1" applyAlignment="1">
      <alignment horizontal="center" vertical="center"/>
    </xf>
    <xf numFmtId="168" fontId="20" fillId="2" borderId="2" xfId="0" applyNumberFormat="1" applyFont="1" applyFill="1" applyBorder="1" applyAlignment="1">
      <alignment horizontal="center" vertical="center"/>
    </xf>
    <xf numFmtId="0" fontId="12" fillId="7" borderId="2" xfId="0" applyFont="1" applyFill="1" applyBorder="1" applyAlignment="1">
      <alignment horizontal="center" vertical="center"/>
    </xf>
    <xf numFmtId="0" fontId="3" fillId="17" borderId="2" xfId="0" applyFont="1" applyFill="1" applyBorder="1" applyAlignment="1">
      <alignment horizontal="left" vertical="center"/>
    </xf>
    <xf numFmtId="164" fontId="13" fillId="17" borderId="2" xfId="0" applyNumberFormat="1" applyFont="1" applyFill="1" applyBorder="1" applyAlignment="1">
      <alignment horizontal="center" vertical="center"/>
    </xf>
    <xf numFmtId="0" fontId="3" fillId="13" borderId="2" xfId="0" applyFont="1" applyFill="1" applyBorder="1" applyAlignment="1">
      <alignment horizontal="left" vertical="center"/>
    </xf>
    <xf numFmtId="164" fontId="13" fillId="13" borderId="2" xfId="0" applyNumberFormat="1" applyFont="1" applyFill="1" applyBorder="1" applyAlignment="1">
      <alignment horizontal="center" vertical="center"/>
    </xf>
    <xf numFmtId="0" fontId="3" fillId="18" borderId="2" xfId="0" applyFont="1" applyFill="1" applyBorder="1" applyAlignment="1">
      <alignment horizontal="left" vertical="center"/>
    </xf>
    <xf numFmtId="164" fontId="13" fillId="18" borderId="2" xfId="0" applyNumberFormat="1" applyFont="1" applyFill="1" applyBorder="1" applyAlignment="1">
      <alignment horizontal="center" vertical="center"/>
    </xf>
    <xf numFmtId="0" fontId="3" fillId="24" borderId="2" xfId="0" applyFont="1" applyFill="1" applyBorder="1" applyAlignment="1">
      <alignment horizontal="left" vertical="center"/>
    </xf>
    <xf numFmtId="164" fontId="13" fillId="24" borderId="2" xfId="0" applyNumberFormat="1" applyFont="1" applyFill="1" applyBorder="1" applyAlignment="1">
      <alignment horizontal="center" vertical="center"/>
    </xf>
    <xf numFmtId="0" fontId="3" fillId="25" borderId="2" xfId="0" applyFont="1" applyFill="1" applyBorder="1" applyAlignment="1">
      <alignment horizontal="left" vertical="center"/>
    </xf>
    <xf numFmtId="164" fontId="13" fillId="25" borderId="2" xfId="0" applyNumberFormat="1" applyFont="1" applyFill="1" applyBorder="1" applyAlignment="1">
      <alignment horizontal="center" vertical="center"/>
    </xf>
    <xf numFmtId="0" fontId="3" fillId="16" borderId="2" xfId="0" applyFont="1" applyFill="1" applyBorder="1" applyAlignment="1">
      <alignment horizontal="left" vertical="center"/>
    </xf>
    <xf numFmtId="168" fontId="13" fillId="16" borderId="2" xfId="0" applyNumberFormat="1" applyFont="1" applyFill="1" applyBorder="1" applyAlignment="1">
      <alignment horizontal="center" vertical="center"/>
    </xf>
    <xf numFmtId="0" fontId="3" fillId="14" borderId="2" xfId="0" applyFont="1" applyFill="1" applyBorder="1" applyAlignment="1">
      <alignment horizontal="left" vertical="center"/>
    </xf>
    <xf numFmtId="168" fontId="13" fillId="14" borderId="2" xfId="0" applyNumberFormat="1" applyFont="1" applyFill="1" applyBorder="1" applyAlignment="1">
      <alignment horizontal="center" vertical="center"/>
    </xf>
    <xf numFmtId="0" fontId="21" fillId="16" borderId="2" xfId="0" applyFont="1" applyFill="1" applyBorder="1" applyAlignment="1">
      <alignment horizontal="center" vertical="center"/>
    </xf>
    <xf numFmtId="3" fontId="21" fillId="16" borderId="2" xfId="0" applyNumberFormat="1" applyFont="1" applyFill="1" applyBorder="1" applyAlignment="1">
      <alignment horizontal="center" vertical="center"/>
    </xf>
    <xf numFmtId="168" fontId="22" fillId="16" borderId="2" xfId="0" applyNumberFormat="1" applyFont="1" applyFill="1" applyBorder="1" applyAlignment="1">
      <alignment horizontal="center" vertical="center"/>
    </xf>
    <xf numFmtId="0" fontId="21" fillId="24" borderId="2" xfId="0" applyFont="1" applyFill="1" applyBorder="1" applyAlignment="1">
      <alignment horizontal="center" vertical="center"/>
    </xf>
    <xf numFmtId="3" fontId="21" fillId="24" borderId="2" xfId="0" applyNumberFormat="1" applyFont="1" applyFill="1" applyBorder="1" applyAlignment="1">
      <alignment horizontal="center" vertical="center"/>
    </xf>
    <xf numFmtId="168" fontId="22" fillId="24" borderId="2" xfId="0" applyNumberFormat="1" applyFont="1" applyFill="1" applyBorder="1" applyAlignment="1">
      <alignment horizontal="center" vertical="center"/>
    </xf>
    <xf numFmtId="0" fontId="21" fillId="13" borderId="2" xfId="0" applyFont="1" applyFill="1" applyBorder="1" applyAlignment="1">
      <alignment horizontal="center" vertical="center"/>
    </xf>
    <xf numFmtId="3" fontId="21" fillId="13" borderId="2" xfId="0" applyNumberFormat="1" applyFont="1" applyFill="1" applyBorder="1" applyAlignment="1">
      <alignment horizontal="center" vertical="center"/>
    </xf>
    <xf numFmtId="168" fontId="22" fillId="13" borderId="2" xfId="0" applyNumberFormat="1" applyFont="1" applyFill="1" applyBorder="1" applyAlignment="1">
      <alignment horizontal="center" vertical="center"/>
    </xf>
    <xf numFmtId="0" fontId="24" fillId="23" borderId="2" xfId="0" applyFont="1" applyFill="1" applyBorder="1" applyAlignment="1">
      <alignment horizontal="left" vertical="center" wrapText="1"/>
    </xf>
    <xf numFmtId="164" fontId="25" fillId="23" borderId="2" xfId="0" applyNumberFormat="1" applyFont="1" applyFill="1" applyBorder="1" applyAlignment="1">
      <alignment horizontal="center" vertical="center"/>
    </xf>
    <xf numFmtId="164" fontId="26" fillId="23" borderId="2" xfId="0" applyNumberFormat="1" applyFont="1" applyFill="1" applyBorder="1" applyAlignment="1">
      <alignment horizontal="center" vertical="center"/>
    </xf>
    <xf numFmtId="164" fontId="27" fillId="23" borderId="2" xfId="0" applyNumberFormat="1" applyFont="1" applyFill="1" applyBorder="1" applyAlignment="1">
      <alignment horizontal="center" vertical="center"/>
    </xf>
    <xf numFmtId="169" fontId="28" fillId="23" borderId="2" xfId="0" applyNumberFormat="1" applyFont="1" applyFill="1" applyBorder="1" applyAlignment="1">
      <alignment horizontal="center" vertical="center"/>
    </xf>
    <xf numFmtId="164" fontId="12" fillId="23" borderId="2" xfId="0" applyNumberFormat="1" applyFont="1" applyFill="1" applyBorder="1" applyAlignment="1">
      <alignment horizontal="center" vertical="center"/>
    </xf>
    <xf numFmtId="0" fontId="24" fillId="26" borderId="2" xfId="0" applyFont="1" applyFill="1" applyBorder="1" applyAlignment="1">
      <alignment horizontal="left" vertical="center" wrapText="1"/>
    </xf>
    <xf numFmtId="164" fontId="25" fillId="26" borderId="2" xfId="0" applyNumberFormat="1" applyFont="1" applyFill="1" applyBorder="1" applyAlignment="1">
      <alignment horizontal="center" vertical="center"/>
    </xf>
    <xf numFmtId="164" fontId="26" fillId="26" borderId="2" xfId="0" applyNumberFormat="1" applyFont="1" applyFill="1" applyBorder="1" applyAlignment="1">
      <alignment horizontal="center" vertical="center"/>
    </xf>
    <xf numFmtId="164" fontId="27" fillId="26" borderId="2" xfId="0" applyNumberFormat="1" applyFont="1" applyFill="1" applyBorder="1" applyAlignment="1">
      <alignment horizontal="center" vertical="center"/>
    </xf>
    <xf numFmtId="169" fontId="28" fillId="26" borderId="2" xfId="0" applyNumberFormat="1" applyFont="1" applyFill="1" applyBorder="1" applyAlignment="1">
      <alignment horizontal="center" vertical="center"/>
    </xf>
    <xf numFmtId="164" fontId="12" fillId="26" borderId="2" xfId="0" applyNumberFormat="1" applyFont="1" applyFill="1" applyBorder="1" applyAlignment="1">
      <alignment horizontal="center" vertical="center"/>
    </xf>
    <xf numFmtId="0" fontId="15" fillId="22" borderId="0" xfId="0" applyFont="1" applyFill="1" applyAlignment="1">
      <alignment horizontal="left" vertical="center" wrapText="1"/>
    </xf>
    <xf numFmtId="0" fontId="15" fillId="23" borderId="0" xfId="0" applyFont="1" applyFill="1" applyAlignment="1">
      <alignment horizontal="left" vertical="center" wrapText="1"/>
    </xf>
    <xf numFmtId="0" fontId="17" fillId="2" borderId="0" xfId="0" applyFont="1" applyFill="1" applyAlignment="1">
      <alignment horizontal="center" vertical="center" wrapText="1"/>
    </xf>
    <xf numFmtId="0" fontId="18" fillId="2" borderId="1" xfId="0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left" vertical="center"/>
    </xf>
    <xf numFmtId="0" fontId="8" fillId="2" borderId="2" xfId="0" applyFont="1" applyFill="1" applyBorder="1" applyAlignment="1">
      <alignment horizontal="left" vertical="center" wrapText="1"/>
    </xf>
    <xf numFmtId="0" fontId="12" fillId="7" borderId="2" xfId="0" applyFont="1" applyFill="1" applyBorder="1" applyAlignment="1">
      <alignment horizontal="center" vertical="center"/>
    </xf>
    <xf numFmtId="0" fontId="15" fillId="17" borderId="2" xfId="0" applyFont="1" applyFill="1" applyBorder="1" applyAlignment="1">
      <alignment horizontal="left" vertical="center" wrapText="1"/>
    </xf>
    <xf numFmtId="0" fontId="15" fillId="13" borderId="2" xfId="0" applyFont="1" applyFill="1" applyBorder="1" applyAlignment="1">
      <alignment horizontal="left" vertical="center" wrapText="1"/>
    </xf>
    <xf numFmtId="0" fontId="15" fillId="18" borderId="2" xfId="0" applyFont="1" applyFill="1" applyBorder="1" applyAlignment="1">
      <alignment horizontal="left" vertical="center" wrapText="1"/>
    </xf>
    <xf numFmtId="0" fontId="15" fillId="24" borderId="2" xfId="0" applyFont="1" applyFill="1" applyBorder="1" applyAlignment="1">
      <alignment horizontal="left" vertical="center" wrapText="1"/>
    </xf>
    <xf numFmtId="0" fontId="15" fillId="25" borderId="2" xfId="0" applyFont="1" applyFill="1" applyBorder="1" applyAlignment="1">
      <alignment horizontal="left" vertical="center" wrapText="1"/>
    </xf>
    <xf numFmtId="0" fontId="15" fillId="16" borderId="2" xfId="0" applyFont="1" applyFill="1" applyBorder="1" applyAlignment="1">
      <alignment horizontal="left" vertical="center" wrapText="1"/>
    </xf>
    <xf numFmtId="0" fontId="15" fillId="14" borderId="2" xfId="0" applyFont="1" applyFill="1" applyBorder="1" applyAlignment="1">
      <alignment horizontal="left" vertical="center" wrapText="1"/>
    </xf>
    <xf numFmtId="0" fontId="23" fillId="3" borderId="1" xfId="0" applyFont="1" applyFill="1" applyBorder="1" applyAlignment="1">
      <alignment horizontal="left" vertical="center"/>
    </xf>
    <xf numFmtId="0" fontId="15" fillId="22" borderId="2" xfId="0" applyFont="1" applyFill="1" applyBorder="1" applyAlignment="1">
      <alignment horizontal="left" vertical="center" wrapText="1"/>
    </xf>
    <xf numFmtId="0" fontId="15" fillId="23" borderId="2" xfId="0" applyFont="1" applyFill="1" applyBorder="1" applyAlignment="1">
      <alignment horizontal="left" vertical="center" wrapText="1"/>
    </xf>
    <xf numFmtId="170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3">
    <dxf>
      <numFmt numFmtId="4" formatCode="#,##0.00"/>
    </dxf>
    <dxf>
      <numFmt numFmtId="4" formatCode="#,##0.00"/>
    </dxf>
    <dxf>
      <numFmt numFmtId="170" formatCode="_([$$-409]* #,##0.00_);_([$$-409]* \(#,##0.00\);_([$$-409]* &quot;-&quot;??_);_(@_)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303F9F"/>
      <rgbColor rgb="FFFFFF00"/>
      <rgbColor rgb="FFE040FB"/>
      <rgbColor rgb="FF00FFFF"/>
      <rgbColor rgb="FF6A1515"/>
      <rgbColor rgb="FF2E7D32"/>
      <rgbColor rgb="FF12122A"/>
      <rgbColor rgb="FF558B2F"/>
      <rgbColor rgb="FF303050"/>
      <rgbColor rgb="FF1B5E20"/>
      <rgbColor rgb="FFBDBDBD"/>
      <rgbColor rgb="FF757575"/>
      <rgbColor rgb="FF9999FF"/>
      <rgbColor rgb="FF444466"/>
      <rgbColor rgb="FFEEEEEE"/>
      <rgbColor rgb="FFCCFFFF"/>
      <rgbColor rgb="FF4A148C"/>
      <rgbColor rgb="FFFF8A80"/>
      <rgbColor rgb="FF1565C0"/>
      <rgbColor rgb="FFD9D9D9"/>
      <rgbColor rgb="FF1A1A2E"/>
      <rgbColor rgb="FFFF00FF"/>
      <rgbColor rgb="FFFFFF00"/>
      <rgbColor rgb="FF00FFFF"/>
      <rgbColor rgb="FF37474F"/>
      <rgbColor rgb="FF800000"/>
      <rgbColor rgb="FF3949AB"/>
      <rgbColor rgb="FF0000FF"/>
      <rgbColor rgb="FF00CCFF"/>
      <rgbColor rgb="FFCCFFFF"/>
      <rgbColor rgb="FFCCFFCC"/>
      <rgbColor rgb="FFFFFF99"/>
      <rgbColor rgb="FF80CBC4"/>
      <rgbColor rgb="FFFF8A65"/>
      <rgbColor rgb="FFB3B3B3"/>
      <rgbColor rgb="FFFFD54F"/>
      <rgbColor rgb="FF3F51B5"/>
      <rgbColor rgb="FF64B5F6"/>
      <rgbColor rgb="FF66BB6A"/>
      <rgbColor rgb="FFFF7043"/>
      <rgbColor rgb="FFFFA726"/>
      <rgbColor rgb="FFF57F17"/>
      <rgbColor rgb="FF4F81BD"/>
      <rgbColor rgb="FF9E9E9E"/>
      <rgbColor rgb="FF1A237E"/>
      <rgbColor rgb="FF26A69A"/>
      <rgbColor rgb="FF1E1E2E"/>
      <rgbColor rgb="FF212121"/>
      <rgbColor rgb="FFB71C1C"/>
      <rgbColor rgb="FFEF5350"/>
      <rgbColor rgb="FF283593"/>
      <rgbColor rgb="FF2D2D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13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12" Type="http://schemas.microsoft.com/office/2017/06/relationships/rdSupportingPropertyBag" Target="richData/rdsupporting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microsoft.com/office/2017/06/relationships/rdSupportingPropertyBagStructure" Target="richData/rdsupportingpropertybagstructure.xml"/><Relationship Id="rId5" Type="http://schemas.openxmlformats.org/officeDocument/2006/relationships/styles" Target="styles.xml"/><Relationship Id="rId15" Type="http://schemas.openxmlformats.org/officeDocument/2006/relationships/calcChain" Target="calcChain.xml"/><Relationship Id="rId10" Type="http://schemas.microsoft.com/office/2017/06/relationships/richStyles" Target="richData/richStyles.xml"/><Relationship Id="rId4" Type="http://schemas.openxmlformats.org/officeDocument/2006/relationships/theme" Target="theme/theme1.xml"/><Relationship Id="rId9" Type="http://schemas.microsoft.com/office/2017/06/relationships/rdRichValueStructure" Target="richData/rdrichvaluestructure.xml"/><Relationship Id="rId14" Type="http://schemas.microsoft.com/office/2017/10/relationships/person" Target="persons/perso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419" sz="1800" b="1" strike="noStrike" spc="-1">
                <a:solidFill>
                  <a:srgbClr val="000000"/>
                </a:solidFill>
                <a:latin typeface="Calibri"/>
              </a:rPr>
              <a:t>Distribución Monte Carlo — Fair Value COST (2,000 sims)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Frecuencia</c:v>
          </c:tx>
          <c:spPr>
            <a:solidFill>
              <a:srgbClr val="4F81BD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419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'Monte Carlo'!$A$24:$A$44</c:f>
              <c:strCache>
                <c:ptCount val="21"/>
                <c:pt idx="0">
                  <c:v>$169</c:v>
                </c:pt>
                <c:pt idx="1">
                  <c:v>$217</c:v>
                </c:pt>
                <c:pt idx="2">
                  <c:v>$264</c:v>
                </c:pt>
                <c:pt idx="3">
                  <c:v>$312</c:v>
                </c:pt>
                <c:pt idx="4">
                  <c:v>$359</c:v>
                </c:pt>
                <c:pt idx="5">
                  <c:v>$407</c:v>
                </c:pt>
                <c:pt idx="6">
                  <c:v>$454</c:v>
                </c:pt>
                <c:pt idx="7">
                  <c:v>$502</c:v>
                </c:pt>
                <c:pt idx="8">
                  <c:v>$549</c:v>
                </c:pt>
                <c:pt idx="9">
                  <c:v>$597</c:v>
                </c:pt>
                <c:pt idx="10">
                  <c:v>$644</c:v>
                </c:pt>
                <c:pt idx="11">
                  <c:v>$692</c:v>
                </c:pt>
                <c:pt idx="12">
                  <c:v>$739</c:v>
                </c:pt>
                <c:pt idx="13">
                  <c:v>$787</c:v>
                </c:pt>
                <c:pt idx="14">
                  <c:v>$834</c:v>
                </c:pt>
                <c:pt idx="15">
                  <c:v>$882</c:v>
                </c:pt>
                <c:pt idx="16">
                  <c:v>$929</c:v>
                </c:pt>
                <c:pt idx="17">
                  <c:v>$977</c:v>
                </c:pt>
                <c:pt idx="18">
                  <c:v>$1024</c:v>
                </c:pt>
                <c:pt idx="19">
                  <c:v>$1072</c:v>
                </c:pt>
                <c:pt idx="20">
                  <c:v>$1119</c:v>
                </c:pt>
              </c:strCache>
            </c:strRef>
          </c:cat>
          <c:val>
            <c:numRef>
              <c:f>'Monte Carlo'!$B$24:$B$44</c:f>
              <c:numCache>
                <c:formatCode>#,##0</c:formatCode>
                <c:ptCount val="21"/>
                <c:pt idx="0">
                  <c:v>6</c:v>
                </c:pt>
                <c:pt idx="1">
                  <c:v>7</c:v>
                </c:pt>
                <c:pt idx="2">
                  <c:v>9</c:v>
                </c:pt>
                <c:pt idx="3">
                  <c:v>31</c:v>
                </c:pt>
                <c:pt idx="4">
                  <c:v>65</c:v>
                </c:pt>
                <c:pt idx="5">
                  <c:v>103</c:v>
                </c:pt>
                <c:pt idx="6">
                  <c:v>157</c:v>
                </c:pt>
                <c:pt idx="7">
                  <c:v>229</c:v>
                </c:pt>
                <c:pt idx="8">
                  <c:v>245</c:v>
                </c:pt>
                <c:pt idx="9">
                  <c:v>283</c:v>
                </c:pt>
                <c:pt idx="10">
                  <c:v>261</c:v>
                </c:pt>
                <c:pt idx="11">
                  <c:v>212</c:v>
                </c:pt>
                <c:pt idx="12">
                  <c:v>160</c:v>
                </c:pt>
                <c:pt idx="13">
                  <c:v>97</c:v>
                </c:pt>
                <c:pt idx="14">
                  <c:v>74</c:v>
                </c:pt>
                <c:pt idx="15">
                  <c:v>35</c:v>
                </c:pt>
                <c:pt idx="16">
                  <c:v>16</c:v>
                </c:pt>
                <c:pt idx="17">
                  <c:v>6</c:v>
                </c:pt>
                <c:pt idx="18">
                  <c:v>3</c:v>
                </c:pt>
                <c:pt idx="19">
                  <c:v>0</c:v>
                </c:pt>
                <c:pt idx="2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1E-4F2D-A366-1E318BD19B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8838962"/>
        <c:axId val="29032990"/>
      </c:barChart>
      <c:catAx>
        <c:axId val="7883896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419" sz="1000" b="1" strike="noStrike" spc="-1">
                    <a:solidFill>
                      <a:srgbClr val="000000"/>
                    </a:solidFill>
                    <a:latin typeface="Calibri"/>
                  </a:rPr>
                  <a:t>Fair Value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419"/>
          </a:p>
        </c:txPr>
        <c:crossAx val="29032990"/>
        <c:crosses val="autoZero"/>
        <c:auto val="1"/>
        <c:lblAlgn val="ctr"/>
        <c:lblOffset val="100"/>
        <c:noMultiLvlLbl val="0"/>
      </c:catAx>
      <c:valAx>
        <c:axId val="2903299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419" sz="1000" b="1" strike="noStrike" spc="-1">
                    <a:solidFill>
                      <a:srgbClr val="000000"/>
                    </a:solidFill>
                    <a:latin typeface="Calibri"/>
                  </a:rPr>
                  <a:t>Frecuencia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419"/>
          </a:p>
        </c:txPr>
        <c:crossAx val="7883896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419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419" sz="1800" b="1" strike="noStrike" spc="-1">
                <a:solidFill>
                  <a:srgbClr val="000000"/>
                </a:solidFill>
                <a:latin typeface="Calibri"/>
              </a:rPr>
              <a:t>Tornado — </a:t>
            </a:r>
            <a:r>
              <a:rPr lang="el-GR" sz="1800" b="1" strike="noStrike" spc="-1">
                <a:solidFill>
                  <a:srgbClr val="000000"/>
                </a:solidFill>
                <a:latin typeface="Calibri"/>
              </a:rPr>
              <a:t>Δ </a:t>
            </a:r>
            <a:r>
              <a:rPr lang="es-419" sz="1800" b="1" strike="noStrike" spc="-1">
                <a:solidFill>
                  <a:srgbClr val="000000"/>
                </a:solidFill>
                <a:latin typeface="Calibri"/>
              </a:rPr>
              <a:t>Fair Value vs Base ($780)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'Tornado — Cisnes Negros'!$E$3</c:f>
              <c:strCache>
                <c:ptCount val="1"/>
                <c:pt idx="0">
                  <c:v>Δ Bajo</c:v>
                </c:pt>
              </c:strCache>
            </c:strRef>
          </c:tx>
          <c:spPr>
            <a:solidFill>
              <a:srgbClr val="EF5350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419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'Tornado — Cisnes Negros'!$A$4:$A$10</c:f>
              <c:strCache>
                <c:ptCount val="7"/>
                <c:pt idx="0">
                  <c:v>Disrupción Membresías (−80% Op.Income)</c:v>
                </c:pt>
                <c:pt idx="1">
                  <c:v>P/E Compresión a 15x (Retail)</c:v>
                </c:pt>
                <c:pt idx="2">
                  <c:v>Crisis Kirkland (−40% EPS)</c:v>
                </c:pt>
                <c:pt idx="3">
                  <c:v>Bloqueo Pacífico (−25% Revenue)</c:v>
                </c:pt>
                <c:pt idx="4">
                  <c:v>Entrada Amazon (−15% Market Share)</c:v>
                </c:pt>
                <c:pt idx="5">
                  <c:v>Compresión P/E moderada (35x)</c:v>
                </c:pt>
                <c:pt idx="6">
                  <c:v>Shock de Tasa +5% (Pánico Fed)</c:v>
                </c:pt>
              </c:strCache>
            </c:strRef>
          </c:cat>
          <c:val>
            <c:numRef>
              <c:f>'Tornado — Cisnes Negros'!$E$4:$E$10</c:f>
              <c:numCache>
                <c:formatCode>\$#,##0.00;"($"#,##0.00\)</c:formatCode>
                <c:ptCount val="7"/>
                <c:pt idx="0">
                  <c:v>-670.8</c:v>
                </c:pt>
                <c:pt idx="1">
                  <c:v>-546</c:v>
                </c:pt>
                <c:pt idx="2">
                  <c:v>-312</c:v>
                </c:pt>
                <c:pt idx="3">
                  <c:v>-312</c:v>
                </c:pt>
                <c:pt idx="4">
                  <c:v>-223.08</c:v>
                </c:pt>
                <c:pt idx="5">
                  <c:v>-234.32759999999999</c:v>
                </c:pt>
                <c:pt idx="6">
                  <c:v>-2.3400000000000301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E8-4622-B821-5F40C774C924}"/>
            </c:ext>
          </c:extLst>
        </c:ser>
        <c:ser>
          <c:idx val="1"/>
          <c:order val="1"/>
          <c:tx>
            <c:strRef>
              <c:f>'Tornado — Cisnes Negros'!$F$3</c:f>
              <c:strCache>
                <c:ptCount val="1"/>
                <c:pt idx="0">
                  <c:v>Δ Alto</c:v>
                </c:pt>
              </c:strCache>
            </c:strRef>
          </c:tx>
          <c:spPr>
            <a:solidFill>
              <a:srgbClr val="66BB6A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419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'Tornado — Cisnes Negros'!$A$4:$A$10</c:f>
              <c:strCache>
                <c:ptCount val="7"/>
                <c:pt idx="0">
                  <c:v>Disrupción Membresías (−80% Op.Income)</c:v>
                </c:pt>
                <c:pt idx="1">
                  <c:v>P/E Compresión a 15x (Retail)</c:v>
                </c:pt>
                <c:pt idx="2">
                  <c:v>Crisis Kirkland (−40% EPS)</c:v>
                </c:pt>
                <c:pt idx="3">
                  <c:v>Bloqueo Pacífico (−25% Revenue)</c:v>
                </c:pt>
                <c:pt idx="4">
                  <c:v>Entrada Amazon (−15% Market Share)</c:v>
                </c:pt>
                <c:pt idx="5">
                  <c:v>Compresión P/E moderada (35x)</c:v>
                </c:pt>
                <c:pt idx="6">
                  <c:v>Shock de Tasa +5% (Pánico Fed)</c:v>
                </c:pt>
              </c:strCache>
            </c:strRef>
          </c:cat>
          <c:val>
            <c:numRef>
              <c:f>'Tornado — Cisnes Negros'!$F$4:$F$10</c:f>
              <c:numCache>
                <c:formatCode>\$#,##0.00</c:formatCode>
                <c:ptCount val="7"/>
                <c:pt idx="0">
                  <c:v>39</c:v>
                </c:pt>
                <c:pt idx="1">
                  <c:v>156</c:v>
                </c:pt>
                <c:pt idx="2">
                  <c:v>78</c:v>
                </c:pt>
                <c:pt idx="3">
                  <c:v>62.4</c:v>
                </c:pt>
                <c:pt idx="4">
                  <c:v>23.400000000000102</c:v>
                </c:pt>
                <c:pt idx="5">
                  <c:v>0</c:v>
                </c:pt>
                <c:pt idx="6">
                  <c:v>0.23399999999992399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CE8-4622-B821-5F40C774C9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398648"/>
        <c:axId val="99920468"/>
      </c:barChart>
      <c:catAx>
        <c:axId val="18398648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l-GR" sz="1000" b="1" strike="noStrike" spc="-1">
                    <a:solidFill>
                      <a:srgbClr val="000000"/>
                    </a:solidFill>
                    <a:latin typeface="Calibri"/>
                  </a:rPr>
                  <a:t>Δ </a:t>
                </a:r>
                <a:r>
                  <a:rPr lang="es-419" sz="1000" b="1" strike="noStrike" spc="-1">
                    <a:solidFill>
                      <a:srgbClr val="000000"/>
                    </a:solidFill>
                    <a:latin typeface="Calibri"/>
                  </a:rPr>
                  <a:t>Fair Value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419"/>
          </a:p>
        </c:txPr>
        <c:crossAx val="99920468"/>
        <c:crosses val="autoZero"/>
        <c:auto val="1"/>
        <c:lblAlgn val="ctr"/>
        <c:lblOffset val="100"/>
        <c:noMultiLvlLbl val="0"/>
      </c:catAx>
      <c:valAx>
        <c:axId val="99920468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419" sz="1000" b="1" strike="noStrike" spc="-1">
                    <a:solidFill>
                      <a:srgbClr val="000000"/>
                    </a:solidFill>
                    <a:latin typeface="Calibri"/>
                  </a:rPr>
                  <a:t>Factor de Riesgo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.00;&quot;($&quot;#,##0.00\)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419"/>
          </a:p>
        </c:txPr>
        <c:crossAx val="1839864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419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11</xdr:row>
      <xdr:rowOff>0</xdr:rowOff>
    </xdr:from>
    <xdr:to>
      <xdr:col>12</xdr:col>
      <xdr:colOff>211680</xdr:colOff>
      <xdr:row>29</xdr:row>
      <xdr:rowOff>134280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12</xdr:row>
      <xdr:rowOff>0</xdr:rowOff>
    </xdr:from>
    <xdr:to>
      <xdr:col>6</xdr:col>
      <xdr:colOff>322560</xdr:colOff>
      <xdr:row>39</xdr:row>
      <xdr:rowOff>54360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  <types>
    <type name="_linkedentity">
      <keyFlags>
        <key name="%cvi">
          <flag name="ShowInCardView" value="0"/>
          <flag name="ShowInDotNotation" value="0"/>
          <flag name="ShowInAutoComplete" value="0"/>
          <flag name="ExcludeFromCalcComparison" value="1"/>
        </key>
      </keyFlags>
    </type>
    <type name="_linkedentitycore">
      <keyFlags>
        <key name="%EntityServiceId">
          <flag name="ShowInCardView" value="0"/>
          <flag name="ShowInDotNotation" value="0"/>
          <flag name="ShowInAutoComplete" value="0"/>
        </key>
        <key name="%EntitySubDomainId">
          <flag name="ShowInCardView" value="0"/>
          <flag name="ShowInDotNotation" value="0"/>
          <flag name="ShowInAutoComplete" value="0"/>
        </key>
        <key name="%EntityCulture">
          <flag name="ShowInCardView" value="0"/>
          <flag name="ShowInDotNotation" value="0"/>
          <flag name="ShowInAutoComplete" value="0"/>
        </key>
        <key name="%EntityId">
          <flag name="ShowInCardView" value="0"/>
          <flag name="ShowInDotNotation" value="0"/>
          <flag name="ShowInAutoComplete" value="0"/>
        </key>
        <key name="%IsRefreshable">
          <flag name="ShowInCardView" value="0"/>
          <flag name="ShowInDotNotation" value="0"/>
          <flag name="ShowInAutoComplete" value="0"/>
          <flag name="ExcludeFromCalcComparison" value="1"/>
        </key>
        <key name="%ProviderInfo">
          <flag name="ShowInCardView" value="0"/>
          <flag name="ShowInDotNotation" value="0"/>
          <flag name="ShowInAutoComplete" value="0"/>
        </key>
        <key name="%DataProviderExternalLinkLogo">
          <flag name="ShowInCardView" value="0"/>
          <flag name="ShowInDotNotation" value="0"/>
          <flag name="ShowInAutoComplete" value="0"/>
        </key>
        <key name="%DataProviderExternalLink">
          <flag name="ShowInCardView" value="0"/>
          <flag name="ShowInDotNotation" value="0"/>
          <flag name="ShowInAutoComplete" value="0"/>
        </key>
        <key name="%OutdatedReason">
          <flag name="ShowInCardView" value="0"/>
          <flag name="ShowInDotNotation" value="0"/>
          <flag name="ShowInAutoComplete" value="0"/>
          <flag name="ExcludeFromCalcComparison" value="1"/>
        </key>
      </keyFlags>
    </type>
  </types>
</rvTypesInfo>
</file>

<file path=xl/richData/rdrichvalue.xml><?xml version="1.0" encoding="utf-8"?>
<rvData xmlns="http://schemas.microsoft.com/office/spreadsheetml/2017/richdata" count="3">
  <rv s="0">
    <v>https://www.bing.com/financeapi/forcetrigger?t=a1q6k2&amp;q=XNAS%3aCOST&amp;form=skydnc</v>
    <v>Learn more on Bing</v>
  </rv>
  <rv s="1">
    <v>es-ES</v>
    <v>a1q6k2</v>
    <v>268435456</v>
    <v>1</v>
    <v>Con tecnología de Refinitiv</v>
    <v>0</v>
    <v>1</v>
    <v>COSTCO WHOLESALE CORPORATION (XNAS:COST)</v>
    <v>3</v>
    <v>4</v>
    <v>Finance</v>
    <v>5</v>
    <v>XNAS</v>
    <v>443652500</v>
    <v>1987</v>
    <v>1005.82</v>
    <v>0.90939999999999999</v>
    <v>-9.32</v>
    <v>-1.7210000000000001E-3</v>
    <v>-9.2390000000000007E-3</v>
    <v>-1.72</v>
    <v>443417364175</v>
    <v>1008.79</v>
    <v>Costco Wholesale Corporation (Costco) opera almacenes de membresía y sitios de comercio electrónico que ofrecen una selección de productos de marca nacional y de marca privada en una amplia gama de categorías. La Compañía compra la mayoría de sus mercancías directamente a los proveedores y la dirige a puntos de consolidación de cross-docking (depósitos) o directamente a sus almacenes. Opera 891 almacenes, incluyendo 614 en los Estados Unidos y Puerto Rico, 108 en Canadá, 40 en México, 35 en Japón, 29 en el Reino Unido, 19 en Corea, 15 en Australia, 14 en Taiwán, siete en China, y más. cinco en España, dos en Francia, y uno en Islandia, Nueva Zelanda y Suecia. También opera sitios de comercio electrónico en los Estados Unidos, Canadá, el Reino Unido, México, Corea, Taiwán, Japón y Australia. La Compañía ofrece una amplia selección de mercancías, además de la conveniencia de departamentos especializados y servicios exclusivos para miembros.</v>
    <v>341000</v>
    <v>XNAS</v>
    <v>46153.850181238282</v>
    <v>Nasdaq Stock Market</v>
    <v>0</v>
    <v>1007</v>
    <v>1067.08</v>
    <v>985.15</v>
    <v>844.06</v>
    <v>USD</v>
    <v>COSTCO WHOLESALE CORPORATION</v>
    <v>COSTCO WHOLESALE CORPORATION</v>
    <v>51.979399999999998</v>
    <v>999.47</v>
    <v>997.75</v>
    <v>Diversified Retail</v>
    <v>999 Lake Dr, ISSAQUAH, WA, 98027- US</v>
    <v>COST</v>
    <v>Acciones</v>
    <v>COSTCO WHOLESALE CORPORATION (XNAS:COST)</v>
    <v>2049558</v>
    <v>1785965</v>
  </rv>
  <rv s="2">
    <v>1</v>
  </rv>
</rvData>
</file>

<file path=xl/richData/rdrichvaluestructure.xml><?xml version="1.0" encoding="utf-8"?>
<rvStructures xmlns="http://schemas.microsoft.com/office/spreadsheetml/2017/richdata" count="3">
  <s t="_hyperlink">
    <k n="Address" t="s"/>
    <k n="Text" t="s"/>
  </s>
  <s t="_linkedentitycore">
    <k n="%EntityCulture" t="s"/>
    <k n="%EntityId" t="s"/>
    <k n="%EntityServiceId"/>
    <k n="%IsRefreshable" t="b"/>
    <k n="%ProviderInfo" t="s"/>
    <k n="_CanonicalPropertyNames" t="spb"/>
    <k n="_Display" t="spb"/>
    <k n="_DisplayString" t="s"/>
    <k n="_Flags" t="spb"/>
    <k n="_Format" t="spb"/>
    <k n="_Icon" t="s"/>
    <k n="_SubLabel" t="spb"/>
    <k n="Abreviatura de intercambio" t="s"/>
    <k n="Acciones en circulación"/>
    <k n="Año de constitución"/>
    <k n="Apertura"/>
    <k n="Beta"/>
    <k n="Cambio"/>
    <k n="Cambio % (horario ampliado)"/>
    <k n="Cambio (%)"/>
    <k n="Cambio (horario ampliado)"/>
    <k n="Capitalización de mercado"/>
    <k n="Cierre anterior"/>
    <k n="Descripción" t="s"/>
    <k n="Empleados"/>
    <k n="ExchangeID" t="s"/>
    <k n="Hora de la última operación"/>
    <k n="Intercambio" t="s"/>
    <k n="LearnMoreOnLink" t="r"/>
    <k n="Máximo"/>
    <k n="Máximo en 52 semanas"/>
    <k n="Mínimo"/>
    <k n="Mínimo en 52 semanas"/>
    <k n="Moneda" t="s"/>
    <k n="Nombre" t="s"/>
    <k n="Nombre oficial" t="s"/>
    <k n="P/I"/>
    <k n="Precio"/>
    <k n="Precio (horario ampliado)"/>
    <k n="Sector" t="s"/>
    <k n="Sede central" t="s"/>
    <k n="Símbolo bursátil" t="s"/>
    <k n="Tipo de instrumento" t="s"/>
    <k n="UniqueName" t="s"/>
    <k n="Volumen"/>
    <k n="Volumen promedio"/>
  </s>
  <s t="_linkedentity">
    <k n="%cvi" t="r"/>
  </s>
</rvStructures>
</file>

<file path=xl/richData/rdsupportingpropertybag.xml><?xml version="1.0" encoding="utf-8"?>
<supportingPropertyBags xmlns="http://schemas.microsoft.com/office/spreadsheetml/2017/richdata2">
  <spbArrays count="1">
    <a count="46">
      <v t="s">%EntityServiceId</v>
      <v t="s">_Format</v>
      <v t="s">%IsRefreshable</v>
      <v t="s">_CanonicalPropertyNames</v>
      <v t="s">%EntityCulture</v>
      <v t="s">%EntityId</v>
      <v t="s">_Icon</v>
      <v t="s">_Display</v>
      <v t="s">Nombre</v>
      <v t="s">_SubLabel</v>
      <v t="s">Precio</v>
      <v t="s">Precio (horario ampliado)</v>
      <v t="s">Intercambio</v>
      <v t="s">Nombre oficial</v>
      <v t="s">Hora de la última operación</v>
      <v t="s">Símbolo bursátil</v>
      <v t="s">Abreviatura de intercambio</v>
      <v t="s">Cambio</v>
      <v t="s">Cambio (horario ampliado)</v>
      <v t="s">Cambio (%)</v>
      <v t="s">Cambio % (horario ampliado)</v>
      <v t="s">Moneda</v>
      <v t="s">Cierre anterior</v>
      <v t="s">Apertura</v>
      <v t="s">Máximo</v>
      <v t="s">Mínimo</v>
      <v t="s">Máximo en 52 semanas</v>
      <v t="s">Mínimo en 52 semanas</v>
      <v t="s">Volumen</v>
      <v t="s">Volumen promedio</v>
      <v t="s">Capitalización de mercado</v>
      <v t="s">Beta</v>
      <v t="s">P/I</v>
      <v t="s">Acciones en circulación</v>
      <v t="s">Descripción</v>
      <v t="s">Empleados</v>
      <v t="s">Sede central</v>
      <v t="s">Sector</v>
      <v t="s">Tipo de instrumento</v>
      <v t="s">Año de constitución</v>
      <v t="s">_Flags</v>
      <v t="s">UniqueName</v>
      <v t="s">_DisplayString</v>
      <v t="s">LearnMoreOnLink</v>
      <v t="s">ExchangeID</v>
      <v t="s">%ProviderInfo</v>
    </a>
  </spbArrays>
  <spbData count="6">
    <spb s="0">
      <v>P/E</v>
      <v>Beta</v>
      <v>Change</v>
      <v>Currency</v>
      <v>High</v>
      <v>Low</v>
      <v>Name</v>
      <v>Price</v>
      <v>Industry</v>
      <v>Volume</v>
      <v>Open</v>
      <v>Employees</v>
      <v>Change (%)</v>
      <v>ExchangeID</v>
      <v>UniqueName</v>
      <v>Description</v>
      <v>Exchange</v>
      <v>Headquarters</v>
      <v>%ProviderInfo</v>
      <v>Official name</v>
      <v>Previous close</v>
      <v>LearnMoreOnLink</v>
      <v>Ticker symbol</v>
      <v>Volume average</v>
      <v>Year incorporated</v>
      <v>Instrument type</v>
      <v>52 week high</v>
      <v>52 week low</v>
      <v>Shares outstanding</v>
      <v>Change (Extended hours)</v>
      <v>Market cap</v>
      <v>Price (Extended hours)</v>
      <v>Exchange abbreviation</v>
      <v>Change % (Extended hours)</v>
      <v>Last trade time</v>
    </spb>
    <spb s="1">
      <v>0</v>
      <v>Name</v>
      <v>LearnMoreOnLink</v>
    </spb>
    <spb s="2">
      <v>0</v>
      <v>0</v>
      <v>0</v>
    </spb>
    <spb s="3">
      <v>2</v>
      <v>2</v>
      <v>2</v>
      <v>2</v>
    </spb>
    <spb s="4">
      <v>1</v>
      <v>1</v>
      <v>2</v>
      <v>2</v>
      <v>2</v>
      <v>3</v>
      <v>2</v>
      <v>4</v>
      <v>2</v>
      <v>4</v>
      <v>5</v>
      <v>2</v>
      <v>4</v>
      <v>6</v>
      <v>7</v>
      <v>2</v>
      <v>2</v>
      <v>4</v>
      <v>2</v>
      <v>8</v>
      <v>2</v>
      <v>5</v>
      <v>9</v>
    </spb>
    <spb s="5">
      <v xml:space="preserve">desde el cierre anterior </v>
      <v xml:space="preserve">al cierre </v>
      <v xml:space="preserve">desde el cierre anterior </v>
      <v>Origen: Nasdaq Última venta</v>
      <v xml:space="preserve">desde el cierre </v>
      <v>Tiempo real Nasdaq Última venta</v>
      <v xml:space="preserve">desde el cierre </v>
      <v>GMT</v>
    </spb>
  </spbData>
</supportingPropertyBags>
</file>

<file path=xl/richData/rdsupportingpropertybagstructure.xml><?xml version="1.0" encoding="utf-8"?>
<spbStructures xmlns="http://schemas.microsoft.com/office/spreadsheetml/2017/richdata2" count="6">
  <s>
    <k n="P/I" t="s"/>
    <k n="Beta" t="s"/>
    <k n="Cambio" t="s"/>
    <k n="Moneda" t="s"/>
    <k n="Máximo" t="s"/>
    <k n="Mínimo" t="s"/>
    <k n="Nombre" t="s"/>
    <k n="Precio" t="s"/>
    <k n="Sector" t="s"/>
    <k n="Volumen" t="s"/>
    <k n="Apertura" t="s"/>
    <k n="Empleados" t="s"/>
    <k n="Cambio (%)" t="s"/>
    <k n="ExchangeID" t="s"/>
    <k n="UniqueName" t="s"/>
    <k n="Descripción" t="s"/>
    <k n="Intercambio" t="s"/>
    <k n="Sede central" t="s"/>
    <k n="%ProviderInfo" t="s"/>
    <k n="Nombre oficial" t="s"/>
    <k n="Cierre anterior" t="s"/>
    <k n="LearnMoreOnLink" t="s"/>
    <k n="Símbolo bursátil" t="s"/>
    <k n="Volumen promedio" t="s"/>
    <k n="Año de constitución" t="s"/>
    <k n="Tipo de instrumento" t="s"/>
    <k n="Máximo en 52 semanas" t="s"/>
    <k n="Mínimo en 52 semanas" t="s"/>
    <k n="Acciones en circulación" t="s"/>
    <k n="Cambio (horario ampliado)" t="s"/>
    <k n="Capitalización de mercado" t="s"/>
    <k n="Precio (horario ampliado)" t="s"/>
    <k n="Abreviatura de intercambio" t="s"/>
    <k n="Cambio % (horario ampliado)" t="s"/>
    <k n="Hora de la última operación" t="s"/>
  </s>
  <s>
    <k n="^Order" t="spba"/>
    <k n="TitleProperty" t="s"/>
    <k n="SubTitleProperty" t="s"/>
  </s>
  <s>
    <k n="ShowInCardView" t="b"/>
    <k n="ShowInDotNotation" t="b"/>
    <k n="ShowInAutoComplete" t="b"/>
  </s>
  <s>
    <k n="ExchangeID" t="spb"/>
    <k n="UniqueName" t="spb"/>
    <k n="`%ProviderInfo" t="spb"/>
    <k n="LearnMoreOnLink" t="spb"/>
  </s>
  <s>
    <k n="P/I" t="i"/>
    <k n="Beta" t="i"/>
    <k n="Cambio" t="i"/>
    <k n="Máximo" t="i"/>
    <k n="Mínimo" t="i"/>
    <k n="Nombre" t="i"/>
    <k n="Precio" t="i"/>
    <k n="Volumen" t="i"/>
    <k n="Apertura" t="i"/>
    <k n="Empleados" t="i"/>
    <k n="Cambio (%)" t="i"/>
    <k n="Cierre anterior" t="i"/>
    <k n="Volumen promedio" t="i"/>
    <k n="`%EntityServiceId" t="i"/>
    <k n="Año de constitución" t="i"/>
    <k n="Máximo en 52 semanas" t="i"/>
    <k n="Mínimo en 52 semanas" t="i"/>
    <k n="Acciones en circulación" t="i"/>
    <k n="Cambio (horario ampliado)" t="i"/>
    <k n="Capitalización de mercado" t="i"/>
    <k n="Precio (horario ampliado)" t="i"/>
    <k n="Cambio % (horario ampliado)" t="i"/>
    <k n="Hora de la última operación" t="i"/>
  </s>
  <s>
    <k n="Cambio" t="s"/>
    <k n="Precio" t="s"/>
    <k n="Cambio (%)" t="s"/>
    <k n="ExchangeID" t="s"/>
    <k n="Cambio (horario ampliado)" t="s"/>
    <k n="Precio (horario ampliado)" t="s"/>
    <k n="Cambio % (horario ampliado)" t="s"/>
    <k n="Hora de la última operación" t="s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7">
    <x:dxf>
      <x:numFmt numFmtId="2" formatCode="0.00"/>
    </x:dxf>
    <x:dxf>
      <x:numFmt numFmtId="0" formatCode="General"/>
    </x:dxf>
    <x:dxf>
      <x:numFmt numFmtId="27" formatCode="d/m/yyyy\ hh:mm"/>
    </x:dxf>
    <x:dxf>
      <x:numFmt numFmtId="14" formatCode="0.00%"/>
    </x:dxf>
    <x:dxf>
      <x:numFmt numFmtId="3" formatCode="#,##0"/>
    </x:dxf>
    <x:dxf>
      <x:numFmt numFmtId="4" formatCode="#,##0.00"/>
    </x:dxf>
    <x:dxf>
      <x:numFmt numFmtId="1" formatCode="0"/>
    </x:dxf>
  </dxfs>
  <richProperties>
    <rPr n="NumberFormat" t="s"/>
    <rPr n="IsTitleField" t="b"/>
  </richProperties>
  <richStyles>
    <rSty dxfid="5">
      <rpv i="0">#,##0.00</rpv>
    </rSty>
    <rSty dxfid="1">
      <rpv i="0">_([$$-en-US]* #,##0.00_);_([$$-en-US]* (#,##0.00);_([$$-en-US]* "-"??_);_(@_)</rpv>
    </rSty>
    <rSty>
      <rpv i="1">1</rpv>
    </rSty>
    <rSty dxfid="4">
      <rpv i="0">#,##0</rpv>
    </rSty>
    <rSty dxfid="3"/>
    <rSty dxfid="0">
      <rpv i="0">0.00</rpv>
    </rSty>
    <rSty dxfid="6">
      <rpv i="0">0</rpv>
    </rSty>
    <rSty dxfid="1">
      <rpv i="0">_([$$-en-US]* #,##0_);_([$$-en-US]* (#,##0);_([$$-en-US]* "-"_);_(@_)</rpv>
    </rSty>
    <rSty dxfid="2"/>
  </richStyles>
</richStyleShee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DB7A695-0301-4C27-94B9-5CBC58DC4A48}" name="Tabla1" displayName="Tabla1" ref="I1:L2" totalsRowShown="0">
  <autoFilter ref="I1:L2" xr:uid="{BDB7A695-0301-4C27-94B9-5CBC58DC4A48}"/>
  <tableColumns count="4">
    <tableColumn id="1" xr3:uid="{F3EA13A3-C831-4DB4-BCE6-4A45E81C9711}" name="Ticker"/>
    <tableColumn id="2" xr3:uid="{EDE7B658-91DF-43A0-B6AE-F44CC5962FCD}" name="Precio" dataDxfId="2">
      <calculatedColumnFormula array="1">_FV(I2,"Precio")</calculatedColumnFormula>
    </tableColumn>
    <tableColumn id="3" xr3:uid="{470A2378-CB3A-4DFD-A00B-508588A527C0}" name="P/E" dataDxfId="1">
      <calculatedColumnFormula array="1">_FV(I2,"P/I",TRUE)</calculatedColumnFormula>
    </tableColumn>
    <tableColumn id="4" xr3:uid="{2CFFFEC1-1B22-4C45-86B7-4779917DC7BA}" name="Beta" dataDxfId="0">
      <calculatedColumnFormula array="1">_FV(I2,"Beta")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E040FB"/>
    <pageSetUpPr fitToPage="1"/>
  </sheetPr>
  <dimension ref="A1:L54"/>
  <sheetViews>
    <sheetView showGridLines="0" tabSelected="1" zoomScaleNormal="100" workbookViewId="0">
      <pane xSplit="1" ySplit="7" topLeftCell="B8" activePane="bottomRight" state="frozen"/>
      <selection pane="topRight" activeCell="B1" sqref="B1"/>
      <selection pane="bottomLeft" activeCell="A8" sqref="A8"/>
      <selection pane="bottomRight" activeCell="G38" sqref="G38"/>
    </sheetView>
  </sheetViews>
  <sheetFormatPr baseColWidth="10" defaultColWidth="8.7109375" defaultRowHeight="15" x14ac:dyDescent="0.25"/>
  <cols>
    <col min="1" max="1" width="30" customWidth="1"/>
    <col min="2" max="6" width="16" customWidth="1"/>
    <col min="7" max="7" width="30" customWidth="1"/>
    <col min="9" max="9" width="47.7109375" bestFit="1" customWidth="1"/>
  </cols>
  <sheetData>
    <row r="1" spans="1:12" ht="36" customHeight="1" x14ac:dyDescent="0.25">
      <c r="A1" s="14" t="s">
        <v>0</v>
      </c>
      <c r="B1" s="14"/>
      <c r="C1" s="14"/>
      <c r="D1" s="14"/>
      <c r="E1" s="14"/>
      <c r="F1" s="14"/>
      <c r="G1" s="14"/>
      <c r="I1" t="s">
        <v>139</v>
      </c>
      <c r="J1" t="s">
        <v>140</v>
      </c>
      <c r="K1" t="s">
        <v>141</v>
      </c>
      <c r="L1" t="s">
        <v>142</v>
      </c>
    </row>
    <row r="2" spans="1:12" ht="21.75" customHeight="1" x14ac:dyDescent="0.25">
      <c r="A2" s="13" t="s">
        <v>1</v>
      </c>
      <c r="B2" s="13"/>
      <c r="C2" s="13"/>
      <c r="D2" s="13"/>
      <c r="E2" s="13"/>
      <c r="F2" s="13"/>
      <c r="G2" s="13"/>
      <c r="I2" t="e" vm="1">
        <v>#VALUE!</v>
      </c>
      <c r="J2" s="112" cm="1">
        <f t="array" aca="1" ref="J2" ca="1">_FV(I2,"Precio")</f>
        <v>999.47</v>
      </c>
      <c r="K2" s="113" cm="1">
        <f t="array" aca="1" ref="K2" ca="1">_FV(I2,"P/I",TRUE)</f>
        <v>51.979399999999998</v>
      </c>
      <c r="L2" s="113" cm="1">
        <f t="array" aca="1" ref="L2" ca="1">_FV(I2,"Beta")</f>
        <v>0.90939999999999999</v>
      </c>
    </row>
    <row r="3" spans="1:12" ht="21.75" customHeight="1" x14ac:dyDescent="0.25">
      <c r="A3" s="12" t="s">
        <v>2</v>
      </c>
      <c r="B3" s="12"/>
      <c r="C3" s="11" t="s">
        <v>3</v>
      </c>
      <c r="D3" s="11"/>
      <c r="E3" s="10" t="s">
        <v>4</v>
      </c>
      <c r="F3" s="10"/>
      <c r="G3" s="10"/>
    </row>
    <row r="4" spans="1:12" ht="27.75" customHeight="1" x14ac:dyDescent="0.25">
      <c r="A4" s="15" t="s">
        <v>5</v>
      </c>
      <c r="B4" s="16" cm="1">
        <f t="array" aca="1" ref="B4" ca="1">_FV(I2,"Precio")</f>
        <v>999.47</v>
      </c>
      <c r="C4" s="15" t="s">
        <v>6</v>
      </c>
      <c r="D4" s="17" cm="1">
        <f t="array" aca="1" ref="D4" ca="1">_FV(I2,"P/I",TRUE)</f>
        <v>51.979399999999998</v>
      </c>
      <c r="E4" s="18" t="s">
        <v>7</v>
      </c>
      <c r="F4" s="9" t="s">
        <v>8</v>
      </c>
      <c r="G4" s="9"/>
    </row>
    <row r="5" spans="1:12" ht="21.75" customHeight="1" x14ac:dyDescent="0.25">
      <c r="A5" s="8" t="s">
        <v>9</v>
      </c>
      <c r="B5" s="8"/>
      <c r="C5" s="8" t="s">
        <v>10</v>
      </c>
      <c r="D5" s="8"/>
      <c r="E5" s="8" t="s">
        <v>11</v>
      </c>
      <c r="F5" s="8"/>
      <c r="G5" s="8"/>
    </row>
    <row r="6" spans="1:12" ht="27.75" customHeight="1" x14ac:dyDescent="0.25">
      <c r="A6" s="13" t="s">
        <v>12</v>
      </c>
      <c r="B6" s="13"/>
      <c r="C6" s="13"/>
      <c r="D6" s="13"/>
      <c r="E6" s="13"/>
      <c r="F6" s="13"/>
      <c r="G6" s="13"/>
    </row>
    <row r="7" spans="1:12" ht="31.5" customHeight="1" x14ac:dyDescent="0.25">
      <c r="A7" s="19" t="s">
        <v>13</v>
      </c>
      <c r="B7" s="20" t="s">
        <v>14</v>
      </c>
      <c r="C7" s="21" t="s">
        <v>15</v>
      </c>
      <c r="D7" s="22" t="s">
        <v>16</v>
      </c>
      <c r="E7" s="23" t="s">
        <v>17</v>
      </c>
      <c r="F7" s="24" t="s">
        <v>18</v>
      </c>
    </row>
    <row r="8" spans="1:12" ht="24" customHeight="1" x14ac:dyDescent="0.25">
      <c r="A8" s="25" t="s">
        <v>19</v>
      </c>
      <c r="B8" s="26">
        <f ca="1">($B$4/$D$4)*15*(1-0*0.06)</f>
        <v>288.4229136927321</v>
      </c>
      <c r="C8" s="26">
        <f ca="1">($B$4/$D$4)*25*(1-0*0.06)</f>
        <v>480.70485615455357</v>
      </c>
      <c r="D8" s="26">
        <f ca="1">($B$4/$D$4)*35*(1-0*0.06)</f>
        <v>672.98679861637493</v>
      </c>
      <c r="E8" s="26">
        <f ca="1">($B$4/$D$4)*50*(1-0*0.06)</f>
        <v>961.40971230910714</v>
      </c>
      <c r="F8" s="26">
        <f ca="1">($B$4/$D$4)*60*(1-0*0.06)</f>
        <v>1153.6916547709284</v>
      </c>
    </row>
    <row r="9" spans="1:12" ht="24" customHeight="1" x14ac:dyDescent="0.25">
      <c r="A9" s="27" t="s">
        <v>20</v>
      </c>
      <c r="B9" s="28">
        <f ca="1">($B$4/$D$4)*15*(1-0.005*0.06)</f>
        <v>288.33638681862431</v>
      </c>
      <c r="C9" s="28">
        <f ca="1">($B$4/$D$4)*25*(1-0.005*0.06)</f>
        <v>480.56064469770723</v>
      </c>
      <c r="D9" s="28">
        <f ca="1">($B$4/$D$4)*35*(1-0.005*0.06)</f>
        <v>672.78490257679005</v>
      </c>
      <c r="E9" s="28">
        <f ca="1">($B$4/$D$4)*50*(1-0.005*0.06)</f>
        <v>961.12128939541446</v>
      </c>
      <c r="F9" s="28">
        <f ca="1">($B$4/$D$4)*60*(1-0.005*0.06)</f>
        <v>1153.3455472744972</v>
      </c>
    </row>
    <row r="10" spans="1:12" ht="24" customHeight="1" x14ac:dyDescent="0.25">
      <c r="A10" s="29" t="s">
        <v>21</v>
      </c>
      <c r="B10" s="30">
        <f ca="1">($B$4/$D$4)*15*(1-0.01*0.06)</f>
        <v>288.24985994451646</v>
      </c>
      <c r="C10" s="30">
        <f ca="1">($B$4/$D$4)*25*(1-0.01*0.06)</f>
        <v>480.41643324086084</v>
      </c>
      <c r="D10" s="30">
        <f ca="1">($B$4/$D$4)*35*(1-0.01*0.06)</f>
        <v>672.58300653720505</v>
      </c>
      <c r="E10" s="30">
        <f ca="1">($B$4/$D$4)*50*(1-0.01*0.06)</f>
        <v>960.83286648172168</v>
      </c>
      <c r="F10" s="30">
        <f ca="1">($B$4/$D$4)*60*(1-0.01*0.06)</f>
        <v>1152.9994397780658</v>
      </c>
    </row>
    <row r="11" spans="1:12" ht="24" customHeight="1" x14ac:dyDescent="0.25">
      <c r="A11" s="31" t="s">
        <v>22</v>
      </c>
      <c r="B11" s="32">
        <f ca="1">($B$4/$D$4)*15*(1-0.025*0.06)</f>
        <v>287.99027932219303</v>
      </c>
      <c r="C11" s="32">
        <f ca="1">($B$4/$D$4)*25*(1-0.025*0.06)</f>
        <v>479.98379887032178</v>
      </c>
      <c r="D11" s="32">
        <f ca="1">($B$4/$D$4)*35*(1-0.025*0.06)</f>
        <v>671.97731841845041</v>
      </c>
      <c r="E11" s="32">
        <f ca="1">($B$4/$D$4)*50*(1-0.025*0.06)</f>
        <v>959.96759774064355</v>
      </c>
      <c r="F11" s="32">
        <f ca="1">($B$4/$D$4)*60*(1-0.025*0.06)</f>
        <v>1151.9611172887721</v>
      </c>
    </row>
    <row r="12" spans="1:12" ht="24" customHeight="1" x14ac:dyDescent="0.25">
      <c r="A12" s="33" t="s">
        <v>23</v>
      </c>
      <c r="B12" s="34">
        <f ca="1">($B$4/$D$4)*15*(1-0.05*0.06)</f>
        <v>287.55764495165391</v>
      </c>
      <c r="C12" s="34">
        <f ca="1">($B$4/$D$4)*25*(1-0.05*0.06)</f>
        <v>479.26274158608993</v>
      </c>
      <c r="D12" s="34">
        <f ca="1">($B$4/$D$4)*35*(1-0.05*0.06)</f>
        <v>670.96783822052578</v>
      </c>
      <c r="E12" s="34">
        <f ca="1">($B$4/$D$4)*50*(1-0.05*0.06)</f>
        <v>958.52548317217986</v>
      </c>
      <c r="F12" s="34">
        <f ca="1">($B$4/$D$4)*60*(1-0.05*0.06)</f>
        <v>1150.2305798066157</v>
      </c>
    </row>
    <row r="13" spans="1:12" ht="27.75" customHeight="1" x14ac:dyDescent="0.25">
      <c r="A13" s="13" t="s">
        <v>24</v>
      </c>
      <c r="B13" s="13"/>
      <c r="C13" s="13"/>
      <c r="D13" s="13"/>
      <c r="E13" s="13"/>
      <c r="F13" s="13"/>
      <c r="G13" s="13"/>
    </row>
    <row r="14" spans="1:12" ht="27.75" customHeight="1" x14ac:dyDescent="0.25">
      <c r="A14" s="19" t="s">
        <v>13</v>
      </c>
      <c r="B14" s="20" t="s">
        <v>14</v>
      </c>
      <c r="C14" s="21" t="s">
        <v>15</v>
      </c>
      <c r="D14" s="22" t="s">
        <v>16</v>
      </c>
      <c r="E14" s="23" t="s">
        <v>17</v>
      </c>
      <c r="F14" s="24" t="s">
        <v>18</v>
      </c>
    </row>
    <row r="15" spans="1:12" ht="24" customHeight="1" x14ac:dyDescent="0.25">
      <c r="A15" s="25" t="s">
        <v>19</v>
      </c>
      <c r="B15" s="35">
        <f t="shared" ref="B15:F19" ca="1" si="0">(B8-$B$4)/$B$4</f>
        <v>-0.71142414110205199</v>
      </c>
      <c r="C15" s="35">
        <f t="shared" ca="1" si="0"/>
        <v>-0.51904023517008657</v>
      </c>
      <c r="D15" s="35">
        <f t="shared" ca="1" si="0"/>
        <v>-0.32665632923812132</v>
      </c>
      <c r="E15" s="35">
        <f t="shared" ca="1" si="0"/>
        <v>-3.8080470340173179E-2</v>
      </c>
      <c r="F15" s="35">
        <f t="shared" ca="1" si="0"/>
        <v>0.15430343559179199</v>
      </c>
    </row>
    <row r="16" spans="1:12" ht="24" customHeight="1" x14ac:dyDescent="0.25">
      <c r="A16" s="27" t="s">
        <v>20</v>
      </c>
      <c r="B16" s="36">
        <f t="shared" ca="1" si="0"/>
        <v>-0.71151071385972131</v>
      </c>
      <c r="C16" s="36">
        <f t="shared" ca="1" si="0"/>
        <v>-0.51918452309953556</v>
      </c>
      <c r="D16" s="36">
        <f t="shared" ca="1" si="0"/>
        <v>-0.32685833233934986</v>
      </c>
      <c r="E16" s="36">
        <f t="shared" ca="1" si="0"/>
        <v>-3.8369046199071069E-2</v>
      </c>
      <c r="F16" s="36">
        <f t="shared" ca="1" si="0"/>
        <v>0.15395714456111459</v>
      </c>
    </row>
    <row r="17" spans="1:7" ht="24" customHeight="1" x14ac:dyDescent="0.25">
      <c r="A17" s="29" t="s">
        <v>21</v>
      </c>
      <c r="B17" s="37">
        <f t="shared" ca="1" si="0"/>
        <v>-0.71159728661739086</v>
      </c>
      <c r="C17" s="37">
        <f t="shared" ca="1" si="0"/>
        <v>-0.51932881102898443</v>
      </c>
      <c r="D17" s="37">
        <f t="shared" ca="1" si="0"/>
        <v>-0.3270603354405785</v>
      </c>
      <c r="E17" s="37">
        <f t="shared" ca="1" si="0"/>
        <v>-3.865762205796907E-2</v>
      </c>
      <c r="F17" s="37">
        <f t="shared" ca="1" si="0"/>
        <v>0.15361085353043694</v>
      </c>
    </row>
    <row r="18" spans="1:7" ht="24" customHeight="1" x14ac:dyDescent="0.25">
      <c r="A18" s="31" t="s">
        <v>22</v>
      </c>
      <c r="B18" s="38">
        <f t="shared" ca="1" si="0"/>
        <v>-0.71185700489039894</v>
      </c>
      <c r="C18" s="38">
        <f t="shared" ca="1" si="0"/>
        <v>-0.51976167481733138</v>
      </c>
      <c r="D18" s="38">
        <f t="shared" ca="1" si="0"/>
        <v>-0.32766634474426409</v>
      </c>
      <c r="E18" s="38">
        <f t="shared" ca="1" si="0"/>
        <v>-3.9523349634662842E-2</v>
      </c>
      <c r="F18" s="38">
        <f t="shared" ca="1" si="0"/>
        <v>0.15257198043840445</v>
      </c>
    </row>
    <row r="19" spans="1:7" ht="24" customHeight="1" x14ac:dyDescent="0.25">
      <c r="A19" s="33" t="s">
        <v>23</v>
      </c>
      <c r="B19" s="39">
        <f t="shared" ca="1" si="0"/>
        <v>-0.71228986867874589</v>
      </c>
      <c r="C19" s="39">
        <f t="shared" ca="1" si="0"/>
        <v>-0.52048311446457629</v>
      </c>
      <c r="D19" s="39">
        <f t="shared" ca="1" si="0"/>
        <v>-0.32867636025040697</v>
      </c>
      <c r="E19" s="39">
        <f t="shared" ca="1" si="0"/>
        <v>-4.0966228929152616E-2</v>
      </c>
      <c r="F19" s="39">
        <f t="shared" ca="1" si="0"/>
        <v>0.15084052528501668</v>
      </c>
    </row>
    <row r="20" spans="1:7" ht="30" customHeight="1" x14ac:dyDescent="0.25">
      <c r="A20" s="7" t="s">
        <v>25</v>
      </c>
      <c r="B20" s="7"/>
      <c r="C20" s="7"/>
      <c r="D20" s="7"/>
      <c r="E20" s="7"/>
      <c r="F20" s="7"/>
      <c r="G20" s="7"/>
    </row>
    <row r="21" spans="1:7" ht="27.75" customHeight="1" x14ac:dyDescent="0.25">
      <c r="A21" s="13" t="s">
        <v>26</v>
      </c>
      <c r="B21" s="13"/>
      <c r="C21" s="13"/>
      <c r="D21" s="13"/>
      <c r="E21" s="13"/>
      <c r="F21" s="13"/>
      <c r="G21" s="13"/>
    </row>
    <row r="22" spans="1:7" ht="24" customHeight="1" x14ac:dyDescent="0.25">
      <c r="A22" s="40" t="s">
        <v>27</v>
      </c>
      <c r="B22" s="40" t="s">
        <v>28</v>
      </c>
      <c r="C22" s="6" t="s">
        <v>29</v>
      </c>
      <c r="D22" s="6"/>
      <c r="E22" s="6"/>
      <c r="F22" s="6"/>
      <c r="G22" s="6"/>
    </row>
    <row r="23" spans="1:7" ht="42" customHeight="1" x14ac:dyDescent="0.25">
      <c r="A23" s="41" t="s">
        <v>30</v>
      </c>
      <c r="B23" s="42" t="s">
        <v>31</v>
      </c>
      <c r="C23" s="5" t="s">
        <v>32</v>
      </c>
      <c r="D23" s="5"/>
      <c r="E23" s="5"/>
      <c r="F23" s="5"/>
      <c r="G23" s="5"/>
    </row>
    <row r="24" spans="1:7" ht="42" customHeight="1" x14ac:dyDescent="0.25">
      <c r="A24" s="43" t="s">
        <v>33</v>
      </c>
      <c r="B24" s="44" t="s">
        <v>34</v>
      </c>
      <c r="C24" s="4" t="s">
        <v>35</v>
      </c>
      <c r="D24" s="4"/>
      <c r="E24" s="4"/>
      <c r="F24" s="4"/>
      <c r="G24" s="4"/>
    </row>
    <row r="25" spans="1:7" ht="42" customHeight="1" x14ac:dyDescent="0.25">
      <c r="A25" s="45" t="s">
        <v>36</v>
      </c>
      <c r="B25" s="46" t="s">
        <v>37</v>
      </c>
      <c r="C25" s="3" t="s">
        <v>38</v>
      </c>
      <c r="D25" s="3"/>
      <c r="E25" s="3"/>
      <c r="F25" s="3"/>
      <c r="G25" s="3"/>
    </row>
    <row r="26" spans="1:7" ht="42" customHeight="1" x14ac:dyDescent="0.25">
      <c r="A26" s="47" t="s">
        <v>39</v>
      </c>
      <c r="B26" s="48" t="s">
        <v>40</v>
      </c>
      <c r="C26" s="2" t="s">
        <v>41</v>
      </c>
      <c r="D26" s="2"/>
      <c r="E26" s="2"/>
      <c r="F26" s="2"/>
      <c r="G26" s="2"/>
    </row>
    <row r="27" spans="1:7" ht="42" customHeight="1" x14ac:dyDescent="0.25">
      <c r="A27" s="49" t="s">
        <v>42</v>
      </c>
      <c r="B27" s="50" t="s">
        <v>43</v>
      </c>
      <c r="C27" s="1" t="s">
        <v>44</v>
      </c>
      <c r="D27" s="1"/>
      <c r="E27" s="1"/>
      <c r="F27" s="1"/>
      <c r="G27" s="1"/>
    </row>
    <row r="28" spans="1:7" ht="27.75" customHeight="1" x14ac:dyDescent="0.25">
      <c r="A28" s="13" t="s">
        <v>45</v>
      </c>
      <c r="B28" s="13"/>
      <c r="C28" s="13"/>
      <c r="D28" s="13"/>
      <c r="E28" s="13"/>
      <c r="F28" s="13"/>
      <c r="G28" s="13"/>
    </row>
    <row r="29" spans="1:7" ht="39.75" customHeight="1" x14ac:dyDescent="0.25">
      <c r="A29" s="51" t="s">
        <v>46</v>
      </c>
      <c r="B29" s="95" t="s">
        <v>47</v>
      </c>
      <c r="C29" s="95"/>
      <c r="D29" s="95"/>
      <c r="E29" s="95"/>
      <c r="F29" s="95"/>
      <c r="G29" s="95"/>
    </row>
    <row r="30" spans="1:7" ht="39.75" customHeight="1" x14ac:dyDescent="0.25">
      <c r="A30" s="52" t="s">
        <v>48</v>
      </c>
      <c r="B30" s="96" t="s">
        <v>49</v>
      </c>
      <c r="C30" s="96"/>
      <c r="D30" s="96"/>
      <c r="E30" s="96"/>
      <c r="F30" s="96"/>
      <c r="G30" s="96"/>
    </row>
    <row r="31" spans="1:7" ht="39.75" customHeight="1" x14ac:dyDescent="0.25">
      <c r="A31" s="51" t="s">
        <v>50</v>
      </c>
      <c r="B31" s="95" t="s">
        <v>51</v>
      </c>
      <c r="C31" s="95"/>
      <c r="D31" s="95"/>
      <c r="E31" s="95"/>
      <c r="F31" s="95"/>
      <c r="G31" s="95"/>
    </row>
    <row r="32" spans="1:7" ht="39.75" customHeight="1" x14ac:dyDescent="0.25">
      <c r="A32" s="52" t="s">
        <v>52</v>
      </c>
      <c r="B32" s="96" t="s">
        <v>53</v>
      </c>
      <c r="C32" s="96"/>
      <c r="D32" s="96"/>
      <c r="E32" s="96"/>
      <c r="F32" s="96"/>
      <c r="G32" s="96"/>
    </row>
    <row r="33" spans="1:7" ht="27.75" customHeight="1" x14ac:dyDescent="0.25">
      <c r="A33" s="97" t="s">
        <v>54</v>
      </c>
      <c r="B33" s="97"/>
      <c r="C33" s="97"/>
      <c r="D33" s="97"/>
      <c r="E33" s="97"/>
      <c r="F33" s="97"/>
      <c r="G33" s="97"/>
    </row>
    <row r="34" spans="1:7" ht="21.75" customHeight="1" x14ac:dyDescent="0.25"/>
    <row r="35" spans="1:7" ht="21.75" customHeight="1" x14ac:dyDescent="0.25"/>
    <row r="36" spans="1:7" ht="21.75" customHeight="1" x14ac:dyDescent="0.25"/>
    <row r="37" spans="1:7" ht="21.75" customHeight="1" x14ac:dyDescent="0.25"/>
    <row r="38" spans="1:7" ht="21.75" customHeight="1" x14ac:dyDescent="0.25"/>
    <row r="39" spans="1:7" ht="21.75" customHeight="1" x14ac:dyDescent="0.25"/>
    <row r="40" spans="1:7" ht="21.75" customHeight="1" x14ac:dyDescent="0.25"/>
    <row r="41" spans="1:7" ht="21.75" customHeight="1" x14ac:dyDescent="0.25"/>
    <row r="42" spans="1:7" ht="21.75" customHeight="1" x14ac:dyDescent="0.25"/>
    <row r="43" spans="1:7" ht="21.75" customHeight="1" x14ac:dyDescent="0.25"/>
    <row r="44" spans="1:7" ht="21.75" customHeight="1" x14ac:dyDescent="0.25"/>
    <row r="45" spans="1:7" ht="21.75" customHeight="1" x14ac:dyDescent="0.25"/>
    <row r="46" spans="1:7" ht="21.75" customHeight="1" x14ac:dyDescent="0.25"/>
    <row r="47" spans="1:7" ht="21.75" customHeight="1" x14ac:dyDescent="0.25"/>
    <row r="48" spans="1:7" ht="21.75" customHeight="1" x14ac:dyDescent="0.25"/>
    <row r="49" ht="21.75" customHeight="1" x14ac:dyDescent="0.25"/>
    <row r="50" ht="21.75" customHeight="1" x14ac:dyDescent="0.25"/>
    <row r="51" ht="21.75" customHeight="1" x14ac:dyDescent="0.25"/>
    <row r="52" ht="21.75" customHeight="1" x14ac:dyDescent="0.25"/>
    <row r="53" ht="21.75" customHeight="1" x14ac:dyDescent="0.25"/>
    <row r="54" ht="21.75" customHeight="1" x14ac:dyDescent="0.25"/>
  </sheetData>
  <mergeCells count="25">
    <mergeCell ref="B29:G29"/>
    <mergeCell ref="B30:G30"/>
    <mergeCell ref="B31:G31"/>
    <mergeCell ref="B32:G32"/>
    <mergeCell ref="A33:G33"/>
    <mergeCell ref="C24:G24"/>
    <mergeCell ref="C25:G25"/>
    <mergeCell ref="C26:G26"/>
    <mergeCell ref="C27:G27"/>
    <mergeCell ref="A28:G28"/>
    <mergeCell ref="A13:G13"/>
    <mergeCell ref="A20:G20"/>
    <mergeCell ref="A21:G21"/>
    <mergeCell ref="C22:G22"/>
    <mergeCell ref="C23:G23"/>
    <mergeCell ref="F4:G4"/>
    <mergeCell ref="A5:B5"/>
    <mergeCell ref="C5:D5"/>
    <mergeCell ref="E5:G5"/>
    <mergeCell ref="A6:G6"/>
    <mergeCell ref="A1:G1"/>
    <mergeCell ref="A2:G2"/>
    <mergeCell ref="A3:B3"/>
    <mergeCell ref="C3:D3"/>
    <mergeCell ref="E3:G3"/>
  </mergeCells>
  <conditionalFormatting sqref="B15:F19">
    <cfRule type="colorScale" priority="2">
      <colorScale>
        <cfvo type="min"/>
        <cfvo type="num" val="0"/>
        <cfvo type="max"/>
        <color rgb="FFB71C1C"/>
        <color rgb="FFFFEB3B"/>
        <color rgb="FF1B5E20"/>
      </colorScale>
    </cfRule>
  </conditionalFormatting>
  <pageMargins left="0.75" right="0.75" top="1" bottom="1" header="0.511811023622047" footer="0.511811023622047"/>
  <pageSetup orientation="landscape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64B5F6"/>
  </sheetPr>
  <dimension ref="A1:J44"/>
  <sheetViews>
    <sheetView zoomScaleNormal="100" workbookViewId="0">
      <pane ySplit="11" topLeftCell="A19" activePane="bottomLeft" state="frozen"/>
      <selection pane="bottomLeft" activeCell="B19" sqref="B19"/>
    </sheetView>
  </sheetViews>
  <sheetFormatPr baseColWidth="10" defaultColWidth="8.7109375" defaultRowHeight="15" x14ac:dyDescent="0.25"/>
  <cols>
    <col min="1" max="1" width="28" customWidth="1"/>
    <col min="2" max="8" width="14" customWidth="1"/>
    <col min="9" max="10" width="18" customWidth="1"/>
  </cols>
  <sheetData>
    <row r="1" spans="1:10" ht="36" customHeight="1" x14ac:dyDescent="0.25">
      <c r="A1" s="98" t="s">
        <v>55</v>
      </c>
      <c r="B1" s="98"/>
      <c r="C1" s="98"/>
      <c r="D1" s="98"/>
      <c r="E1" s="98"/>
      <c r="F1" s="98"/>
      <c r="G1" s="98"/>
      <c r="H1" s="98"/>
      <c r="I1" s="98"/>
      <c r="J1" s="98"/>
    </row>
    <row r="2" spans="1:10" ht="25.5" customHeight="1" x14ac:dyDescent="0.25">
      <c r="A2" s="99" t="s">
        <v>56</v>
      </c>
      <c r="B2" s="99"/>
      <c r="C2" s="99"/>
      <c r="D2" s="99"/>
      <c r="E2" s="99"/>
      <c r="F2" s="99"/>
      <c r="G2" s="99"/>
      <c r="H2" s="99"/>
      <c r="I2" s="99"/>
      <c r="J2" s="99"/>
    </row>
    <row r="3" spans="1:10" ht="21.75" customHeight="1" x14ac:dyDescent="0.25">
      <c r="A3" s="53" t="s">
        <v>57</v>
      </c>
      <c r="B3" s="54">
        <f ca="1">'Matriz de Sensibilidad'!B4</f>
        <v>999.47</v>
      </c>
      <c r="C3" s="55" t="s">
        <v>58</v>
      </c>
      <c r="D3" s="100" t="s">
        <v>59</v>
      </c>
      <c r="E3" s="100"/>
      <c r="F3" s="100"/>
      <c r="G3" s="100"/>
      <c r="H3" s="100"/>
      <c r="I3" s="100"/>
      <c r="J3" s="100"/>
    </row>
    <row r="4" spans="1:10" ht="21.75" customHeight="1" x14ac:dyDescent="0.25">
      <c r="A4" s="53" t="s">
        <v>60</v>
      </c>
      <c r="B4" s="56">
        <f ca="1">'Matriz de Sensibilidad'!D4</f>
        <v>51.979399999999998</v>
      </c>
      <c r="C4" s="55" t="s">
        <v>58</v>
      </c>
      <c r="D4" s="100" t="s">
        <v>61</v>
      </c>
      <c r="E4" s="100"/>
      <c r="F4" s="100"/>
      <c r="G4" s="100"/>
      <c r="H4" s="100"/>
      <c r="I4" s="100"/>
      <c r="J4" s="100"/>
    </row>
    <row r="5" spans="1:10" ht="21.75" customHeight="1" x14ac:dyDescent="0.25">
      <c r="A5" s="53" t="s">
        <v>62</v>
      </c>
      <c r="B5" s="56">
        <v>38</v>
      </c>
      <c r="C5" s="55" t="s">
        <v>58</v>
      </c>
      <c r="D5" s="100" t="s">
        <v>63</v>
      </c>
      <c r="E5" s="100"/>
      <c r="F5" s="100"/>
      <c r="G5" s="100"/>
      <c r="H5" s="100"/>
      <c r="I5" s="100"/>
      <c r="J5" s="100"/>
    </row>
    <row r="6" spans="1:10" ht="21.75" customHeight="1" x14ac:dyDescent="0.25">
      <c r="A6" s="53" t="s">
        <v>64</v>
      </c>
      <c r="B6" s="57">
        <v>9</v>
      </c>
      <c r="C6" s="55" t="s">
        <v>58</v>
      </c>
      <c r="D6" s="100" t="s">
        <v>65</v>
      </c>
      <c r="E6" s="100"/>
      <c r="F6" s="100"/>
      <c r="G6" s="100"/>
      <c r="H6" s="100"/>
      <c r="I6" s="100"/>
      <c r="J6" s="100"/>
    </row>
    <row r="7" spans="1:10" ht="21.75" customHeight="1" x14ac:dyDescent="0.25">
      <c r="A7" s="53" t="s">
        <v>66</v>
      </c>
      <c r="B7" s="58">
        <v>0.01</v>
      </c>
      <c r="C7" s="55" t="s">
        <v>58</v>
      </c>
      <c r="D7" s="100" t="s">
        <v>67</v>
      </c>
      <c r="E7" s="100"/>
      <c r="F7" s="100"/>
      <c r="G7" s="100"/>
      <c r="H7" s="100"/>
      <c r="I7" s="100"/>
      <c r="J7" s="100"/>
    </row>
    <row r="8" spans="1:10" ht="21.75" customHeight="1" x14ac:dyDescent="0.25">
      <c r="A8" s="53" t="s">
        <v>68</v>
      </c>
      <c r="B8" s="58">
        <v>1.4999999999999999E-2</v>
      </c>
      <c r="C8" s="55" t="s">
        <v>58</v>
      </c>
      <c r="D8" s="100" t="s">
        <v>69</v>
      </c>
      <c r="E8" s="100"/>
      <c r="F8" s="100"/>
      <c r="G8" s="100"/>
      <c r="H8" s="100"/>
      <c r="I8" s="100"/>
      <c r="J8" s="100"/>
    </row>
    <row r="10" spans="1:10" ht="25.5" customHeight="1" x14ac:dyDescent="0.25">
      <c r="A10" s="99" t="s">
        <v>70</v>
      </c>
      <c r="B10" s="99"/>
      <c r="C10" s="99"/>
      <c r="D10" s="99"/>
      <c r="E10" s="99"/>
      <c r="F10" s="99"/>
      <c r="G10" s="99"/>
      <c r="H10" s="99"/>
      <c r="I10" s="99"/>
      <c r="J10" s="99"/>
    </row>
    <row r="11" spans="1:10" ht="21.75" customHeight="1" x14ac:dyDescent="0.25">
      <c r="A11" s="59" t="s">
        <v>71</v>
      </c>
      <c r="B11" s="59" t="s">
        <v>72</v>
      </c>
      <c r="C11" s="101" t="s">
        <v>73</v>
      </c>
      <c r="D11" s="101"/>
      <c r="E11" s="101"/>
      <c r="F11" s="101"/>
      <c r="G11" s="101"/>
      <c r="H11" s="101"/>
      <c r="I11" s="101"/>
      <c r="J11" s="101"/>
    </row>
    <row r="12" spans="1:10" ht="24" customHeight="1" x14ac:dyDescent="0.25">
      <c r="A12" s="60" t="s">
        <v>74</v>
      </c>
      <c r="B12" s="61">
        <v>598.78095134615501</v>
      </c>
      <c r="C12" s="102" t="s">
        <v>75</v>
      </c>
      <c r="D12" s="102"/>
      <c r="E12" s="102"/>
      <c r="F12" s="102"/>
      <c r="G12" s="102"/>
      <c r="H12" s="102"/>
      <c r="I12" s="102"/>
      <c r="J12" s="102"/>
    </row>
    <row r="13" spans="1:10" ht="24" customHeight="1" x14ac:dyDescent="0.25">
      <c r="A13" s="62" t="s">
        <v>76</v>
      </c>
      <c r="B13" s="63">
        <v>598.70959401651498</v>
      </c>
      <c r="C13" s="103" t="s">
        <v>77</v>
      </c>
      <c r="D13" s="103"/>
      <c r="E13" s="103"/>
      <c r="F13" s="103"/>
      <c r="G13" s="103"/>
      <c r="H13" s="103"/>
      <c r="I13" s="103"/>
      <c r="J13" s="103"/>
    </row>
    <row r="14" spans="1:10" ht="24" customHeight="1" x14ac:dyDescent="0.25">
      <c r="A14" s="64" t="s">
        <v>78</v>
      </c>
      <c r="B14" s="65">
        <v>138.64326208939701</v>
      </c>
      <c r="C14" s="104" t="s">
        <v>79</v>
      </c>
      <c r="D14" s="104"/>
      <c r="E14" s="104"/>
      <c r="F14" s="104"/>
      <c r="G14" s="104"/>
      <c r="H14" s="104"/>
      <c r="I14" s="104"/>
      <c r="J14" s="104"/>
    </row>
    <row r="15" spans="1:10" ht="24" customHeight="1" x14ac:dyDescent="0.25">
      <c r="A15" s="66" t="s">
        <v>80</v>
      </c>
      <c r="B15" s="67">
        <v>373.023888775437</v>
      </c>
      <c r="C15" s="105" t="s">
        <v>81</v>
      </c>
      <c r="D15" s="105"/>
      <c r="E15" s="105"/>
      <c r="F15" s="105"/>
      <c r="G15" s="105"/>
      <c r="H15" s="105"/>
      <c r="I15" s="105"/>
      <c r="J15" s="105"/>
    </row>
    <row r="16" spans="1:10" ht="24" customHeight="1" x14ac:dyDescent="0.25">
      <c r="A16" s="68" t="s">
        <v>82</v>
      </c>
      <c r="B16" s="69">
        <v>505.28285927806701</v>
      </c>
      <c r="C16" s="106" t="s">
        <v>83</v>
      </c>
      <c r="D16" s="106"/>
      <c r="E16" s="106"/>
      <c r="F16" s="106"/>
      <c r="G16" s="106"/>
      <c r="H16" s="106"/>
      <c r="I16" s="106"/>
      <c r="J16" s="106"/>
    </row>
    <row r="17" spans="1:10" ht="24" customHeight="1" x14ac:dyDescent="0.25">
      <c r="A17" s="62" t="s">
        <v>84</v>
      </c>
      <c r="B17" s="63">
        <v>688.85409076321105</v>
      </c>
      <c r="C17" s="103" t="s">
        <v>85</v>
      </c>
      <c r="D17" s="103"/>
      <c r="E17" s="103"/>
      <c r="F17" s="103"/>
      <c r="G17" s="103"/>
      <c r="H17" s="103"/>
      <c r="I17" s="103"/>
      <c r="J17" s="103"/>
    </row>
    <row r="18" spans="1:10" ht="24" customHeight="1" x14ac:dyDescent="0.25">
      <c r="A18" s="66" t="s">
        <v>86</v>
      </c>
      <c r="B18" s="67">
        <v>829.16575850583104</v>
      </c>
      <c r="C18" s="105" t="s">
        <v>87</v>
      </c>
      <c r="D18" s="105"/>
      <c r="E18" s="105"/>
      <c r="F18" s="105"/>
      <c r="G18" s="105"/>
      <c r="H18" s="105"/>
      <c r="I18" s="105"/>
      <c r="J18" s="105"/>
    </row>
    <row r="19" spans="1:10" ht="24" customHeight="1" x14ac:dyDescent="0.25">
      <c r="A19" s="70" t="s">
        <v>88</v>
      </c>
      <c r="B19" s="71">
        <v>0.90149999999999997</v>
      </c>
      <c r="C19" s="107" t="s">
        <v>89</v>
      </c>
      <c r="D19" s="107"/>
      <c r="E19" s="107"/>
      <c r="F19" s="107"/>
      <c r="G19" s="107"/>
      <c r="H19" s="107"/>
      <c r="I19" s="107"/>
      <c r="J19" s="107"/>
    </row>
    <row r="20" spans="1:10" ht="24" customHeight="1" x14ac:dyDescent="0.25">
      <c r="A20" s="72" t="s">
        <v>90</v>
      </c>
      <c r="B20" s="73">
        <v>3.0499999999999999E-2</v>
      </c>
      <c r="C20" s="108" t="s">
        <v>91</v>
      </c>
      <c r="D20" s="108"/>
      <c r="E20" s="108"/>
      <c r="F20" s="108"/>
      <c r="G20" s="108"/>
      <c r="H20" s="108"/>
      <c r="I20" s="108"/>
      <c r="J20" s="108"/>
    </row>
    <row r="22" spans="1:10" ht="25.5" customHeight="1" x14ac:dyDescent="0.25">
      <c r="A22" s="99" t="s">
        <v>92</v>
      </c>
      <c r="B22" s="99"/>
      <c r="C22" s="99"/>
      <c r="D22" s="99"/>
      <c r="E22" s="99"/>
      <c r="F22" s="99"/>
      <c r="G22" s="99"/>
      <c r="H22" s="99"/>
      <c r="I22" s="99"/>
      <c r="J22" s="99"/>
    </row>
    <row r="23" spans="1:10" ht="21.75" customHeight="1" x14ac:dyDescent="0.25">
      <c r="A23" s="59" t="s">
        <v>93</v>
      </c>
      <c r="B23" s="59" t="s">
        <v>94</v>
      </c>
      <c r="C23" s="59" t="s">
        <v>95</v>
      </c>
    </row>
    <row r="24" spans="1:10" ht="18" customHeight="1" x14ac:dyDescent="0.25">
      <c r="A24" s="74" t="s">
        <v>96</v>
      </c>
      <c r="B24" s="75">
        <v>6</v>
      </c>
      <c r="C24" s="76">
        <v>3.0000000000000001E-3</v>
      </c>
    </row>
    <row r="25" spans="1:10" ht="18" customHeight="1" x14ac:dyDescent="0.25">
      <c r="A25" s="74" t="s">
        <v>97</v>
      </c>
      <c r="B25" s="75">
        <v>7</v>
      </c>
      <c r="C25" s="76">
        <v>3.5000000000000001E-3</v>
      </c>
    </row>
    <row r="26" spans="1:10" ht="18" customHeight="1" x14ac:dyDescent="0.25">
      <c r="A26" s="74" t="s">
        <v>98</v>
      </c>
      <c r="B26" s="75">
        <v>9</v>
      </c>
      <c r="C26" s="76">
        <v>4.4999999999999997E-3</v>
      </c>
    </row>
    <row r="27" spans="1:10" ht="18" customHeight="1" x14ac:dyDescent="0.25">
      <c r="A27" s="74" t="s">
        <v>99</v>
      </c>
      <c r="B27" s="75">
        <v>31</v>
      </c>
      <c r="C27" s="76">
        <v>1.55E-2</v>
      </c>
    </row>
    <row r="28" spans="1:10" ht="18" customHeight="1" x14ac:dyDescent="0.25">
      <c r="A28" s="74" t="s">
        <v>100</v>
      </c>
      <c r="B28" s="75">
        <v>65</v>
      </c>
      <c r="C28" s="76">
        <v>3.2500000000000001E-2</v>
      </c>
    </row>
    <row r="29" spans="1:10" ht="18" customHeight="1" x14ac:dyDescent="0.25">
      <c r="A29" s="74" t="s">
        <v>101</v>
      </c>
      <c r="B29" s="75">
        <v>103</v>
      </c>
      <c r="C29" s="76">
        <v>5.1499999999999997E-2</v>
      </c>
    </row>
    <row r="30" spans="1:10" ht="18" customHeight="1" x14ac:dyDescent="0.25">
      <c r="A30" s="74" t="s">
        <v>102</v>
      </c>
      <c r="B30" s="75">
        <v>157</v>
      </c>
      <c r="C30" s="76">
        <v>7.85E-2</v>
      </c>
    </row>
    <row r="31" spans="1:10" ht="18" customHeight="1" x14ac:dyDescent="0.25">
      <c r="A31" s="74" t="s">
        <v>103</v>
      </c>
      <c r="B31" s="75">
        <v>229</v>
      </c>
      <c r="C31" s="76">
        <v>0.1145</v>
      </c>
    </row>
    <row r="32" spans="1:10" ht="18" customHeight="1" x14ac:dyDescent="0.25">
      <c r="A32" s="74" t="s">
        <v>104</v>
      </c>
      <c r="B32" s="75">
        <v>245</v>
      </c>
      <c r="C32" s="76">
        <v>0.1225</v>
      </c>
    </row>
    <row r="33" spans="1:3" ht="18" customHeight="1" x14ac:dyDescent="0.25">
      <c r="A33" s="74" t="s">
        <v>105</v>
      </c>
      <c r="B33" s="75">
        <v>283</v>
      </c>
      <c r="C33" s="76">
        <v>0.14149999999999999</v>
      </c>
    </row>
    <row r="34" spans="1:3" ht="18" customHeight="1" x14ac:dyDescent="0.25">
      <c r="A34" s="74" t="s">
        <v>106</v>
      </c>
      <c r="B34" s="75">
        <v>261</v>
      </c>
      <c r="C34" s="76">
        <v>0.1305</v>
      </c>
    </row>
    <row r="35" spans="1:3" ht="18" customHeight="1" x14ac:dyDescent="0.25">
      <c r="A35" s="77" t="s">
        <v>107</v>
      </c>
      <c r="B35" s="78">
        <v>212</v>
      </c>
      <c r="C35" s="79">
        <v>0.106</v>
      </c>
    </row>
    <row r="36" spans="1:3" ht="18" customHeight="1" x14ac:dyDescent="0.25">
      <c r="A36" s="77" t="s">
        <v>108</v>
      </c>
      <c r="B36" s="78">
        <v>160</v>
      </c>
      <c r="C36" s="79">
        <v>0.08</v>
      </c>
    </row>
    <row r="37" spans="1:3" ht="18" customHeight="1" x14ac:dyDescent="0.25">
      <c r="A37" s="77" t="s">
        <v>109</v>
      </c>
      <c r="B37" s="78">
        <v>97</v>
      </c>
      <c r="C37" s="79">
        <v>4.8500000000000001E-2</v>
      </c>
    </row>
    <row r="38" spans="1:3" ht="18" customHeight="1" x14ac:dyDescent="0.25">
      <c r="A38" s="80" t="s">
        <v>110</v>
      </c>
      <c r="B38" s="81">
        <v>74</v>
      </c>
      <c r="C38" s="82">
        <v>3.6999999999999998E-2</v>
      </c>
    </row>
    <row r="39" spans="1:3" ht="18" customHeight="1" x14ac:dyDescent="0.25">
      <c r="A39" s="80" t="s">
        <v>111</v>
      </c>
      <c r="B39" s="81">
        <v>35</v>
      </c>
      <c r="C39" s="82">
        <v>1.7500000000000002E-2</v>
      </c>
    </row>
    <row r="40" spans="1:3" ht="18" customHeight="1" x14ac:dyDescent="0.25">
      <c r="A40" s="80" t="s">
        <v>112</v>
      </c>
      <c r="B40" s="81">
        <v>16</v>
      </c>
      <c r="C40" s="82">
        <v>8.0000000000000002E-3</v>
      </c>
    </row>
    <row r="41" spans="1:3" ht="18" customHeight="1" x14ac:dyDescent="0.25">
      <c r="A41" s="80" t="s">
        <v>113</v>
      </c>
      <c r="B41" s="81">
        <v>6</v>
      </c>
      <c r="C41" s="82">
        <v>3.0000000000000001E-3</v>
      </c>
    </row>
    <row r="42" spans="1:3" ht="18" customHeight="1" x14ac:dyDescent="0.25">
      <c r="A42" s="80" t="s">
        <v>114</v>
      </c>
      <c r="B42" s="81">
        <v>3</v>
      </c>
      <c r="C42" s="82">
        <v>1.5E-3</v>
      </c>
    </row>
    <row r="43" spans="1:3" ht="18" customHeight="1" x14ac:dyDescent="0.25">
      <c r="A43" s="80" t="s">
        <v>115</v>
      </c>
      <c r="B43" s="81">
        <v>0</v>
      </c>
      <c r="C43" s="82">
        <v>0</v>
      </c>
    </row>
    <row r="44" spans="1:3" ht="18" customHeight="1" x14ac:dyDescent="0.25">
      <c r="A44" s="80" t="s">
        <v>116</v>
      </c>
      <c r="B44" s="81">
        <v>1</v>
      </c>
      <c r="C44" s="82">
        <v>5.0000000000000001E-4</v>
      </c>
    </row>
  </sheetData>
  <mergeCells count="20">
    <mergeCell ref="C17:J17"/>
    <mergeCell ref="C18:J18"/>
    <mergeCell ref="C19:J19"/>
    <mergeCell ref="C20:J20"/>
    <mergeCell ref="A22:J22"/>
    <mergeCell ref="C12:J12"/>
    <mergeCell ref="C13:J13"/>
    <mergeCell ref="C14:J14"/>
    <mergeCell ref="C15:J15"/>
    <mergeCell ref="C16:J16"/>
    <mergeCell ref="D6:J6"/>
    <mergeCell ref="D7:J7"/>
    <mergeCell ref="D8:J8"/>
    <mergeCell ref="A10:J10"/>
    <mergeCell ref="C11:J11"/>
    <mergeCell ref="A1:J1"/>
    <mergeCell ref="A2:J2"/>
    <mergeCell ref="D3:J3"/>
    <mergeCell ref="D4:J4"/>
    <mergeCell ref="D5:J5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EF5350"/>
  </sheetPr>
  <dimension ref="A1:H35"/>
  <sheetViews>
    <sheetView zoomScaleNormal="100" workbookViewId="0">
      <pane ySplit="3" topLeftCell="A4" activePane="bottomLeft" state="frozen"/>
      <selection pane="bottomLeft" activeCell="F4" sqref="F4"/>
    </sheetView>
  </sheetViews>
  <sheetFormatPr baseColWidth="10" defaultColWidth="8.7109375" defaultRowHeight="15" x14ac:dyDescent="0.25"/>
  <cols>
    <col min="1" max="1" width="36" customWidth="1"/>
    <col min="2" max="5" width="16" customWidth="1"/>
    <col min="6" max="7" width="18" customWidth="1"/>
    <col min="8" max="8" width="20" customWidth="1"/>
  </cols>
  <sheetData>
    <row r="1" spans="1:8" ht="36" customHeight="1" x14ac:dyDescent="0.25">
      <c r="A1" s="98" t="s">
        <v>117</v>
      </c>
      <c r="B1" s="98"/>
      <c r="C1" s="98"/>
      <c r="D1" s="98"/>
      <c r="E1" s="98"/>
      <c r="F1" s="98"/>
      <c r="G1" s="98"/>
      <c r="H1" s="98"/>
    </row>
    <row r="2" spans="1:8" ht="24" customHeight="1" x14ac:dyDescent="0.25">
      <c r="A2" s="109" t="s">
        <v>118</v>
      </c>
      <c r="B2" s="109"/>
      <c r="C2" s="109"/>
      <c r="D2" s="109"/>
      <c r="E2" s="109"/>
      <c r="F2" s="109"/>
      <c r="G2" s="109"/>
      <c r="H2" s="109"/>
    </row>
    <row r="3" spans="1:8" ht="24" customHeight="1" x14ac:dyDescent="0.25">
      <c r="A3" s="59" t="s">
        <v>119</v>
      </c>
      <c r="B3" s="59" t="s">
        <v>120</v>
      </c>
      <c r="C3" s="59" t="s">
        <v>121</v>
      </c>
      <c r="D3" s="59" t="s">
        <v>122</v>
      </c>
      <c r="E3" s="59" t="s">
        <v>123</v>
      </c>
      <c r="F3" s="59" t="s">
        <v>124</v>
      </c>
      <c r="G3" s="59" t="s">
        <v>125</v>
      </c>
    </row>
    <row r="4" spans="1:8" ht="25.5" customHeight="1" x14ac:dyDescent="0.25">
      <c r="A4" s="83" t="s">
        <v>126</v>
      </c>
      <c r="B4" s="84">
        <v>109.2</v>
      </c>
      <c r="C4" s="85">
        <v>780</v>
      </c>
      <c r="D4" s="86">
        <v>819</v>
      </c>
      <c r="E4" s="87">
        <v>-670.8</v>
      </c>
      <c r="F4" s="86">
        <v>39</v>
      </c>
      <c r="G4" s="88">
        <v>709.8</v>
      </c>
    </row>
    <row r="5" spans="1:8" ht="25.5" customHeight="1" x14ac:dyDescent="0.25">
      <c r="A5" s="89" t="s">
        <v>127</v>
      </c>
      <c r="B5" s="90">
        <v>234</v>
      </c>
      <c r="C5" s="91">
        <v>780</v>
      </c>
      <c r="D5" s="92">
        <v>936</v>
      </c>
      <c r="E5" s="93">
        <v>-546</v>
      </c>
      <c r="F5" s="92">
        <v>156</v>
      </c>
      <c r="G5" s="94">
        <v>702</v>
      </c>
    </row>
    <row r="6" spans="1:8" ht="25.5" customHeight="1" x14ac:dyDescent="0.25">
      <c r="A6" s="83" t="s">
        <v>128</v>
      </c>
      <c r="B6" s="84">
        <v>468</v>
      </c>
      <c r="C6" s="85">
        <v>780</v>
      </c>
      <c r="D6" s="86">
        <v>858</v>
      </c>
      <c r="E6" s="87">
        <v>-312</v>
      </c>
      <c r="F6" s="86">
        <v>78</v>
      </c>
      <c r="G6" s="88">
        <v>390</v>
      </c>
    </row>
    <row r="7" spans="1:8" ht="25.5" customHeight="1" x14ac:dyDescent="0.25">
      <c r="A7" s="89" t="s">
        <v>129</v>
      </c>
      <c r="B7" s="90">
        <v>468</v>
      </c>
      <c r="C7" s="91">
        <v>780</v>
      </c>
      <c r="D7" s="92">
        <v>842.4</v>
      </c>
      <c r="E7" s="93">
        <v>-312</v>
      </c>
      <c r="F7" s="92">
        <v>62.4</v>
      </c>
      <c r="G7" s="94">
        <v>374.4</v>
      </c>
    </row>
    <row r="8" spans="1:8" ht="25.5" customHeight="1" x14ac:dyDescent="0.25">
      <c r="A8" s="83" t="s">
        <v>130</v>
      </c>
      <c r="B8" s="84">
        <v>556.91999999999996</v>
      </c>
      <c r="C8" s="85">
        <v>780</v>
      </c>
      <c r="D8" s="86">
        <v>803.4</v>
      </c>
      <c r="E8" s="87">
        <v>-223.08</v>
      </c>
      <c r="F8" s="86">
        <v>23.400000000000102</v>
      </c>
      <c r="G8" s="88">
        <v>246.48</v>
      </c>
    </row>
    <row r="9" spans="1:8" ht="25.5" customHeight="1" x14ac:dyDescent="0.25">
      <c r="A9" s="89" t="s">
        <v>131</v>
      </c>
      <c r="B9" s="90">
        <v>545.67240000000004</v>
      </c>
      <c r="C9" s="91">
        <v>780</v>
      </c>
      <c r="D9" s="92">
        <v>780</v>
      </c>
      <c r="E9" s="93">
        <v>-234.32759999999999</v>
      </c>
      <c r="F9" s="92">
        <v>0</v>
      </c>
      <c r="G9" s="94">
        <v>234.32759999999999</v>
      </c>
    </row>
    <row r="10" spans="1:8" ht="25.5" customHeight="1" x14ac:dyDescent="0.25">
      <c r="A10" s="83" t="s">
        <v>132</v>
      </c>
      <c r="B10" s="84">
        <v>777.66</v>
      </c>
      <c r="C10" s="85">
        <v>780</v>
      </c>
      <c r="D10" s="86">
        <v>780.23400000000004</v>
      </c>
      <c r="E10" s="87">
        <v>-2.3400000000000301</v>
      </c>
      <c r="F10" s="86">
        <v>0.23399999999992399</v>
      </c>
      <c r="G10" s="88">
        <v>2.5739999999999599</v>
      </c>
    </row>
    <row r="30" spans="1:8" ht="25.5" customHeight="1" x14ac:dyDescent="0.25">
      <c r="A30" s="99" t="s">
        <v>133</v>
      </c>
      <c r="B30" s="99"/>
      <c r="C30" s="99"/>
      <c r="D30" s="99"/>
      <c r="E30" s="99"/>
      <c r="F30" s="99"/>
      <c r="G30" s="99"/>
      <c r="H30" s="99"/>
    </row>
    <row r="31" spans="1:8" ht="21.75" customHeight="1" x14ac:dyDescent="0.25">
      <c r="A31" s="110" t="s">
        <v>134</v>
      </c>
      <c r="B31" s="110"/>
      <c r="C31" s="110"/>
      <c r="D31" s="110"/>
      <c r="E31" s="110"/>
      <c r="F31" s="110"/>
      <c r="G31" s="110"/>
      <c r="H31" s="110"/>
    </row>
    <row r="32" spans="1:8" ht="21.75" customHeight="1" x14ac:dyDescent="0.25">
      <c r="A32" s="111" t="s">
        <v>135</v>
      </c>
      <c r="B32" s="111"/>
      <c r="C32" s="111"/>
      <c r="D32" s="111"/>
      <c r="E32" s="111"/>
      <c r="F32" s="111"/>
      <c r="G32" s="111"/>
      <c r="H32" s="111"/>
    </row>
    <row r="33" spans="1:8" ht="21.75" customHeight="1" x14ac:dyDescent="0.25">
      <c r="A33" s="110" t="s">
        <v>136</v>
      </c>
      <c r="B33" s="110"/>
      <c r="C33" s="110"/>
      <c r="D33" s="110"/>
      <c r="E33" s="110"/>
      <c r="F33" s="110"/>
      <c r="G33" s="110"/>
      <c r="H33" s="110"/>
    </row>
    <row r="34" spans="1:8" ht="21.75" customHeight="1" x14ac:dyDescent="0.25">
      <c r="A34" s="111" t="s">
        <v>137</v>
      </c>
      <c r="B34" s="111"/>
      <c r="C34" s="111"/>
      <c r="D34" s="111"/>
      <c r="E34" s="111"/>
      <c r="F34" s="111"/>
      <c r="G34" s="111"/>
      <c r="H34" s="111"/>
    </row>
    <row r="35" spans="1:8" ht="21.75" customHeight="1" x14ac:dyDescent="0.25">
      <c r="A35" s="110" t="s">
        <v>138</v>
      </c>
      <c r="B35" s="110"/>
      <c r="C35" s="110"/>
      <c r="D35" s="110"/>
      <c r="E35" s="110"/>
      <c r="F35" s="110"/>
      <c r="G35" s="110"/>
      <c r="H35" s="110"/>
    </row>
  </sheetData>
  <mergeCells count="8">
    <mergeCell ref="A33:H33"/>
    <mergeCell ref="A34:H34"/>
    <mergeCell ref="A35:H35"/>
    <mergeCell ref="A1:H1"/>
    <mergeCell ref="A2:H2"/>
    <mergeCell ref="A30:H30"/>
    <mergeCell ref="A31:H31"/>
    <mergeCell ref="A32:H3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Matriz de Sensibilidad</vt:lpstr>
      <vt:lpstr>Monte Carlo</vt:lpstr>
      <vt:lpstr>Tornado — Cisnes Negros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Luis Mauricio (Hijo) Ayala</cp:lastModifiedBy>
  <cp:revision>1</cp:revision>
  <dcterms:created xsi:type="dcterms:W3CDTF">2026-05-11T01:21:26Z</dcterms:created>
  <dcterms:modified xsi:type="dcterms:W3CDTF">2026-05-11T20:28:43Z</dcterms:modified>
  <dc:language>en-US</dc:language>
</cp:coreProperties>
</file>